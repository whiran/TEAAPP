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ybersecurity\Apps\TEAAPP\ext\"/>
    </mc:Choice>
  </mc:AlternateContent>
  <xr:revisionPtr revIDLastSave="0" documentId="13_ncr:1_{7BD0627F-5E94-469E-80DB-8DE0FFEEE8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56" i="2" l="1"/>
  <c r="F1056" i="2"/>
  <c r="B1056" i="2"/>
  <c r="H1056" i="2" s="1"/>
  <c r="T1056" i="1" s="1"/>
  <c r="G1055" i="2"/>
  <c r="F1055" i="2"/>
  <c r="B1055" i="2"/>
  <c r="H1055" i="2" s="1"/>
  <c r="T1055" i="1" s="1"/>
  <c r="G1054" i="2"/>
  <c r="F1054" i="2"/>
  <c r="B1054" i="2"/>
  <c r="H1054" i="2" s="1"/>
  <c r="T1054" i="1" s="1"/>
  <c r="G1053" i="2"/>
  <c r="F1053" i="2"/>
  <c r="B1053" i="2"/>
  <c r="H1053" i="2" s="1"/>
  <c r="T1053" i="1" s="1"/>
  <c r="G1052" i="2"/>
  <c r="F1052" i="2"/>
  <c r="B1052" i="2"/>
  <c r="H1052" i="2" s="1"/>
  <c r="T1052" i="1" s="1"/>
  <c r="G1051" i="2"/>
  <c r="F1051" i="2"/>
  <c r="B1051" i="2"/>
  <c r="H1051" i="2" s="1"/>
  <c r="T1051" i="1" s="1"/>
  <c r="G1050" i="2"/>
  <c r="F1050" i="2"/>
  <c r="B1050" i="2"/>
  <c r="H1050" i="2" s="1"/>
  <c r="T1050" i="1" s="1"/>
  <c r="G1049" i="2"/>
  <c r="F1049" i="2"/>
  <c r="B1049" i="2"/>
  <c r="H1049" i="2" s="1"/>
  <c r="T1049" i="1" s="1"/>
  <c r="G1048" i="2"/>
  <c r="F1048" i="2"/>
  <c r="B1048" i="2"/>
  <c r="H1048" i="2" s="1"/>
  <c r="T1048" i="1" s="1"/>
  <c r="G1047" i="2"/>
  <c r="F1047" i="2"/>
  <c r="B1047" i="2"/>
  <c r="H1047" i="2" s="1"/>
  <c r="T1047" i="1" s="1"/>
  <c r="G1046" i="2"/>
  <c r="F1046" i="2"/>
  <c r="B1046" i="2"/>
  <c r="H1046" i="2" s="1"/>
  <c r="T1046" i="1" s="1"/>
  <c r="G1045" i="2"/>
  <c r="F1045" i="2"/>
  <c r="B1045" i="2"/>
  <c r="H1045" i="2" s="1"/>
  <c r="T1045" i="1" s="1"/>
  <c r="G1044" i="2"/>
  <c r="F1044" i="2"/>
  <c r="B1044" i="2"/>
  <c r="H1044" i="2" s="1"/>
  <c r="T1044" i="1" s="1"/>
  <c r="G1043" i="2"/>
  <c r="F1043" i="2"/>
  <c r="B1043" i="2"/>
  <c r="H1043" i="2" s="1"/>
  <c r="T1043" i="1" s="1"/>
  <c r="G1042" i="2"/>
  <c r="F1042" i="2"/>
  <c r="B1042" i="2"/>
  <c r="H1042" i="2" s="1"/>
  <c r="T1042" i="1" s="1"/>
  <c r="G1041" i="2"/>
  <c r="F1041" i="2"/>
  <c r="B1041" i="2"/>
  <c r="H1041" i="2" s="1"/>
  <c r="T1041" i="1" s="1"/>
  <c r="G1040" i="2"/>
  <c r="F1040" i="2"/>
  <c r="B1040" i="2"/>
  <c r="H1040" i="2" s="1"/>
  <c r="T1040" i="1" s="1"/>
  <c r="G1039" i="2"/>
  <c r="F1039" i="2"/>
  <c r="B1039" i="2"/>
  <c r="H1039" i="2" s="1"/>
  <c r="T1039" i="1" s="1"/>
  <c r="G1038" i="2"/>
  <c r="F1038" i="2"/>
  <c r="B1038" i="2"/>
  <c r="H1038" i="2" s="1"/>
  <c r="T1038" i="1" s="1"/>
  <c r="G1037" i="2"/>
  <c r="F1037" i="2"/>
  <c r="B1037" i="2"/>
  <c r="H1037" i="2" s="1"/>
  <c r="T1037" i="1" s="1"/>
  <c r="G1036" i="2"/>
  <c r="F1036" i="2"/>
  <c r="B1036" i="2"/>
  <c r="H1036" i="2" s="1"/>
  <c r="T1036" i="1" s="1"/>
  <c r="G1035" i="2"/>
  <c r="F1035" i="2"/>
  <c r="B1035" i="2"/>
  <c r="H1035" i="2" s="1"/>
  <c r="T1035" i="1" s="1"/>
  <c r="G1034" i="2"/>
  <c r="F1034" i="2"/>
  <c r="B1034" i="2"/>
  <c r="H1034" i="2" s="1"/>
  <c r="T1034" i="1" s="1"/>
  <c r="G1033" i="2"/>
  <c r="F1033" i="2"/>
  <c r="B1033" i="2"/>
  <c r="H1033" i="2" s="1"/>
  <c r="T1033" i="1" s="1"/>
  <c r="G1032" i="2"/>
  <c r="F1032" i="2"/>
  <c r="B1032" i="2"/>
  <c r="H1032" i="2" s="1"/>
  <c r="T1032" i="1" s="1"/>
  <c r="G1031" i="2"/>
  <c r="F1031" i="2"/>
  <c r="B1031" i="2"/>
  <c r="H1031" i="2" s="1"/>
  <c r="T1031" i="1" s="1"/>
  <c r="G1030" i="2"/>
  <c r="F1030" i="2"/>
  <c r="B1030" i="2"/>
  <c r="H1030" i="2" s="1"/>
  <c r="T1030" i="1" s="1"/>
  <c r="G1029" i="2"/>
  <c r="F1029" i="2"/>
  <c r="B1029" i="2"/>
  <c r="H1029" i="2" s="1"/>
  <c r="T1029" i="1" s="1"/>
  <c r="G1028" i="2"/>
  <c r="F1028" i="2"/>
  <c r="B1028" i="2"/>
  <c r="H1028" i="2" s="1"/>
  <c r="T1028" i="1" s="1"/>
  <c r="G1027" i="2"/>
  <c r="F1027" i="2"/>
  <c r="B1027" i="2"/>
  <c r="H1027" i="2" s="1"/>
  <c r="T1027" i="1" s="1"/>
  <c r="G1026" i="2"/>
  <c r="F1026" i="2"/>
  <c r="B1026" i="2"/>
  <c r="H1026" i="2" s="1"/>
  <c r="T1026" i="1" s="1"/>
  <c r="G1025" i="2"/>
  <c r="F1025" i="2"/>
  <c r="B1025" i="2"/>
  <c r="H1025" i="2" s="1"/>
  <c r="T1025" i="1" s="1"/>
  <c r="G1024" i="2"/>
  <c r="F1024" i="2"/>
  <c r="B1024" i="2"/>
  <c r="H1024" i="2" s="1"/>
  <c r="T1024" i="1" s="1"/>
  <c r="G1023" i="2"/>
  <c r="F1023" i="2"/>
  <c r="B1023" i="2"/>
  <c r="H1023" i="2" s="1"/>
  <c r="T1023" i="1" s="1"/>
  <c r="G1022" i="2"/>
  <c r="F1022" i="2"/>
  <c r="B1022" i="2"/>
  <c r="H1022" i="2" s="1"/>
  <c r="T1022" i="1" s="1"/>
  <c r="G1021" i="2"/>
  <c r="F1021" i="2"/>
  <c r="B1021" i="2"/>
  <c r="H1021" i="2" s="1"/>
  <c r="T1021" i="1" s="1"/>
  <c r="G1020" i="2"/>
  <c r="F1020" i="2"/>
  <c r="B1020" i="2"/>
  <c r="H1020" i="2" s="1"/>
  <c r="T1020" i="1" s="1"/>
  <c r="G1019" i="2"/>
  <c r="F1019" i="2"/>
  <c r="B1019" i="2"/>
  <c r="H1019" i="2" s="1"/>
  <c r="T1019" i="1" s="1"/>
  <c r="G1018" i="2"/>
  <c r="F1018" i="2"/>
  <c r="B1018" i="2"/>
  <c r="H1018" i="2" s="1"/>
  <c r="T1018" i="1" s="1"/>
  <c r="G1017" i="2"/>
  <c r="F1017" i="2"/>
  <c r="B1017" i="2"/>
  <c r="H1017" i="2" s="1"/>
  <c r="T1017" i="1" s="1"/>
  <c r="G1016" i="2"/>
  <c r="F1016" i="2"/>
  <c r="B1016" i="2"/>
  <c r="H1016" i="2" s="1"/>
  <c r="T1016" i="1" s="1"/>
  <c r="G1015" i="2"/>
  <c r="F1015" i="2"/>
  <c r="B1015" i="2"/>
  <c r="H1015" i="2" s="1"/>
  <c r="T1015" i="1" s="1"/>
  <c r="G1014" i="2"/>
  <c r="F1014" i="2"/>
  <c r="B1014" i="2"/>
  <c r="H1014" i="2" s="1"/>
  <c r="T1014" i="1" s="1"/>
  <c r="G1013" i="2"/>
  <c r="F1013" i="2"/>
  <c r="B1013" i="2"/>
  <c r="H1013" i="2" s="1"/>
  <c r="T1013" i="1" s="1"/>
  <c r="G1012" i="2"/>
  <c r="F1012" i="2"/>
  <c r="B1012" i="2"/>
  <c r="H1012" i="2" s="1"/>
  <c r="T1012" i="1" s="1"/>
  <c r="G1011" i="2"/>
  <c r="F1011" i="2"/>
  <c r="B1011" i="2"/>
  <c r="H1011" i="2" s="1"/>
  <c r="T1011" i="1" s="1"/>
  <c r="G1010" i="2"/>
  <c r="F1010" i="2"/>
  <c r="B1010" i="2"/>
  <c r="H1010" i="2" s="1"/>
  <c r="T1010" i="1" s="1"/>
  <c r="G1009" i="2"/>
  <c r="F1009" i="2"/>
  <c r="B1009" i="2"/>
  <c r="H1009" i="2" s="1"/>
  <c r="T1009" i="1" s="1"/>
  <c r="G1008" i="2"/>
  <c r="F1008" i="2"/>
  <c r="B1008" i="2"/>
  <c r="H1008" i="2" s="1"/>
  <c r="T1008" i="1" s="1"/>
  <c r="G1007" i="2"/>
  <c r="F1007" i="2"/>
  <c r="B1007" i="2"/>
  <c r="H1007" i="2" s="1"/>
  <c r="T1007" i="1" s="1"/>
  <c r="G1006" i="2"/>
  <c r="F1006" i="2"/>
  <c r="B1006" i="2"/>
  <c r="H1006" i="2" s="1"/>
  <c r="T1006" i="1" s="1"/>
  <c r="G1005" i="2"/>
  <c r="F1005" i="2"/>
  <c r="B1005" i="2"/>
  <c r="H1005" i="2" s="1"/>
  <c r="T1005" i="1" s="1"/>
  <c r="G1004" i="2"/>
  <c r="F1004" i="2"/>
  <c r="B1004" i="2"/>
  <c r="H1004" i="2" s="1"/>
  <c r="T1004" i="1" s="1"/>
  <c r="G1003" i="2"/>
  <c r="F1003" i="2"/>
  <c r="B1003" i="2"/>
  <c r="H1003" i="2" s="1"/>
  <c r="T1003" i="1" s="1"/>
  <c r="G1002" i="2"/>
  <c r="F1002" i="2"/>
  <c r="B1002" i="2"/>
  <c r="H1002" i="2" s="1"/>
  <c r="T1002" i="1" s="1"/>
  <c r="G1001" i="2"/>
  <c r="F1001" i="2"/>
  <c r="B1001" i="2"/>
  <c r="H1001" i="2" s="1"/>
  <c r="T1001" i="1" s="1"/>
  <c r="G1000" i="2"/>
  <c r="F1000" i="2"/>
  <c r="B1000" i="2"/>
  <c r="H1000" i="2" s="1"/>
  <c r="T1000" i="1" s="1"/>
  <c r="G999" i="2"/>
  <c r="F999" i="2"/>
  <c r="B999" i="2"/>
  <c r="H999" i="2" s="1"/>
  <c r="T999" i="1" s="1"/>
  <c r="G998" i="2"/>
  <c r="F998" i="2"/>
  <c r="B998" i="2"/>
  <c r="H998" i="2" s="1"/>
  <c r="T998" i="1" s="1"/>
  <c r="G997" i="2"/>
  <c r="F997" i="2"/>
  <c r="B997" i="2"/>
  <c r="H997" i="2" s="1"/>
  <c r="T997" i="1" s="1"/>
  <c r="G996" i="2"/>
  <c r="F996" i="2"/>
  <c r="B996" i="2"/>
  <c r="H996" i="2" s="1"/>
  <c r="T996" i="1" s="1"/>
  <c r="G995" i="2"/>
  <c r="F995" i="2"/>
  <c r="B995" i="2"/>
  <c r="H995" i="2" s="1"/>
  <c r="T995" i="1" s="1"/>
  <c r="G994" i="2"/>
  <c r="F994" i="2"/>
  <c r="B994" i="2"/>
  <c r="H994" i="2" s="1"/>
  <c r="T994" i="1" s="1"/>
  <c r="G993" i="2"/>
  <c r="F993" i="2"/>
  <c r="B993" i="2"/>
  <c r="H993" i="2" s="1"/>
  <c r="T993" i="1" s="1"/>
  <c r="G992" i="2"/>
  <c r="F992" i="2"/>
  <c r="B992" i="2"/>
  <c r="H992" i="2" s="1"/>
  <c r="T992" i="1" s="1"/>
  <c r="G991" i="2"/>
  <c r="F991" i="2"/>
  <c r="B991" i="2"/>
  <c r="H991" i="2" s="1"/>
  <c r="T991" i="1" s="1"/>
  <c r="G990" i="2"/>
  <c r="F990" i="2"/>
  <c r="B990" i="2"/>
  <c r="H990" i="2" s="1"/>
  <c r="T990" i="1" s="1"/>
  <c r="G989" i="2"/>
  <c r="F989" i="2"/>
  <c r="B989" i="2"/>
  <c r="H989" i="2" s="1"/>
  <c r="T989" i="1" s="1"/>
  <c r="G988" i="2"/>
  <c r="F988" i="2"/>
  <c r="B988" i="2"/>
  <c r="H988" i="2" s="1"/>
  <c r="T988" i="1" s="1"/>
  <c r="G987" i="2"/>
  <c r="F987" i="2"/>
  <c r="B987" i="2"/>
  <c r="H987" i="2" s="1"/>
  <c r="T987" i="1" s="1"/>
  <c r="G986" i="2"/>
  <c r="F986" i="2"/>
  <c r="B986" i="2"/>
  <c r="H986" i="2" s="1"/>
  <c r="T986" i="1" s="1"/>
  <c r="G985" i="2"/>
  <c r="F985" i="2"/>
  <c r="B985" i="2"/>
  <c r="H985" i="2" s="1"/>
  <c r="T985" i="1" s="1"/>
  <c r="G984" i="2"/>
  <c r="F984" i="2"/>
  <c r="B984" i="2"/>
  <c r="H984" i="2" s="1"/>
  <c r="T984" i="1" s="1"/>
  <c r="G983" i="2"/>
  <c r="F983" i="2"/>
  <c r="B983" i="2"/>
  <c r="H983" i="2" s="1"/>
  <c r="T983" i="1" s="1"/>
  <c r="G982" i="2"/>
  <c r="F982" i="2"/>
  <c r="B982" i="2"/>
  <c r="H982" i="2" s="1"/>
  <c r="T982" i="1" s="1"/>
  <c r="G981" i="2"/>
  <c r="F981" i="2"/>
  <c r="B981" i="2"/>
  <c r="H981" i="2" s="1"/>
  <c r="T981" i="1" s="1"/>
  <c r="G980" i="2"/>
  <c r="F980" i="2"/>
  <c r="B980" i="2"/>
  <c r="H980" i="2" s="1"/>
  <c r="T980" i="1" s="1"/>
  <c r="G979" i="2"/>
  <c r="F979" i="2"/>
  <c r="B979" i="2"/>
  <c r="H979" i="2" s="1"/>
  <c r="T979" i="1" s="1"/>
  <c r="G978" i="2"/>
  <c r="F978" i="2"/>
  <c r="B978" i="2"/>
  <c r="H978" i="2" s="1"/>
  <c r="T978" i="1" s="1"/>
  <c r="G977" i="2"/>
  <c r="F977" i="2"/>
  <c r="B977" i="2"/>
  <c r="H977" i="2" s="1"/>
  <c r="T977" i="1" s="1"/>
  <c r="G976" i="2"/>
  <c r="F976" i="2"/>
  <c r="B976" i="2"/>
  <c r="H976" i="2" s="1"/>
  <c r="T976" i="1" s="1"/>
  <c r="G975" i="2"/>
  <c r="F975" i="2"/>
  <c r="B975" i="2"/>
  <c r="H975" i="2" s="1"/>
  <c r="T975" i="1" s="1"/>
  <c r="G974" i="2"/>
  <c r="F974" i="2"/>
  <c r="B974" i="2"/>
  <c r="H974" i="2" s="1"/>
  <c r="T974" i="1" s="1"/>
  <c r="G973" i="2"/>
  <c r="F973" i="2"/>
  <c r="B973" i="2"/>
  <c r="H973" i="2" s="1"/>
  <c r="T973" i="1" s="1"/>
  <c r="G972" i="2"/>
  <c r="F972" i="2"/>
  <c r="B972" i="2"/>
  <c r="H972" i="2" s="1"/>
  <c r="T972" i="1" s="1"/>
  <c r="G971" i="2"/>
  <c r="F971" i="2"/>
  <c r="B971" i="2"/>
  <c r="H971" i="2" s="1"/>
  <c r="T971" i="1" s="1"/>
  <c r="G970" i="2"/>
  <c r="F970" i="2"/>
  <c r="B970" i="2"/>
  <c r="H970" i="2" s="1"/>
  <c r="T970" i="1" s="1"/>
  <c r="G969" i="2"/>
  <c r="F969" i="2"/>
  <c r="B969" i="2"/>
  <c r="H969" i="2" s="1"/>
  <c r="T969" i="1" s="1"/>
  <c r="G968" i="2"/>
  <c r="F968" i="2"/>
  <c r="B968" i="2"/>
  <c r="H968" i="2" s="1"/>
  <c r="T968" i="1" s="1"/>
  <c r="G967" i="2"/>
  <c r="F967" i="2"/>
  <c r="B967" i="2"/>
  <c r="H967" i="2" s="1"/>
  <c r="T967" i="1" s="1"/>
  <c r="G966" i="2"/>
  <c r="F966" i="2"/>
  <c r="B966" i="2"/>
  <c r="H966" i="2" s="1"/>
  <c r="T966" i="1" s="1"/>
  <c r="G965" i="2"/>
  <c r="F965" i="2"/>
  <c r="B965" i="2"/>
  <c r="H965" i="2" s="1"/>
  <c r="T965" i="1" s="1"/>
  <c r="G964" i="2"/>
  <c r="F964" i="2"/>
  <c r="B964" i="2"/>
  <c r="H964" i="2" s="1"/>
  <c r="T964" i="1" s="1"/>
  <c r="G963" i="2"/>
  <c r="F963" i="2"/>
  <c r="B963" i="2"/>
  <c r="H963" i="2" s="1"/>
  <c r="T963" i="1" s="1"/>
  <c r="G962" i="2"/>
  <c r="F962" i="2"/>
  <c r="B962" i="2"/>
  <c r="H962" i="2" s="1"/>
  <c r="T962" i="1" s="1"/>
  <c r="G961" i="2"/>
  <c r="F961" i="2"/>
  <c r="B961" i="2"/>
  <c r="H961" i="2" s="1"/>
  <c r="T961" i="1" s="1"/>
  <c r="G960" i="2"/>
  <c r="F960" i="2"/>
  <c r="B960" i="2"/>
  <c r="H960" i="2" s="1"/>
  <c r="T960" i="1" s="1"/>
  <c r="G959" i="2"/>
  <c r="F959" i="2"/>
  <c r="B959" i="2"/>
  <c r="H959" i="2" s="1"/>
  <c r="T959" i="1" s="1"/>
  <c r="G958" i="2"/>
  <c r="F958" i="2"/>
  <c r="B958" i="2"/>
  <c r="H958" i="2" s="1"/>
  <c r="T958" i="1" s="1"/>
  <c r="G957" i="2"/>
  <c r="F957" i="2"/>
  <c r="B957" i="2"/>
  <c r="H957" i="2" s="1"/>
  <c r="T957" i="1" s="1"/>
  <c r="G956" i="2"/>
  <c r="F956" i="2"/>
  <c r="B956" i="2"/>
  <c r="H956" i="2" s="1"/>
  <c r="T956" i="1" s="1"/>
  <c r="G955" i="2"/>
  <c r="F955" i="2"/>
  <c r="B955" i="2"/>
  <c r="H955" i="2" s="1"/>
  <c r="T955" i="1" s="1"/>
  <c r="G954" i="2"/>
  <c r="F954" i="2"/>
  <c r="B954" i="2"/>
  <c r="H954" i="2" s="1"/>
  <c r="T954" i="1" s="1"/>
  <c r="G953" i="2"/>
  <c r="F953" i="2"/>
  <c r="B953" i="2"/>
  <c r="H953" i="2" s="1"/>
  <c r="T953" i="1" s="1"/>
  <c r="G952" i="2"/>
  <c r="F952" i="2"/>
  <c r="B952" i="2"/>
  <c r="H952" i="2" s="1"/>
  <c r="T952" i="1" s="1"/>
  <c r="G951" i="2"/>
  <c r="F951" i="2"/>
  <c r="B951" i="2"/>
  <c r="H951" i="2" s="1"/>
  <c r="T951" i="1" s="1"/>
  <c r="G950" i="2"/>
  <c r="F950" i="2"/>
  <c r="B950" i="2"/>
  <c r="H950" i="2" s="1"/>
  <c r="T950" i="1" s="1"/>
  <c r="G949" i="2"/>
  <c r="F949" i="2"/>
  <c r="B949" i="2"/>
  <c r="H949" i="2" s="1"/>
  <c r="T949" i="1" s="1"/>
  <c r="G948" i="2"/>
  <c r="F948" i="2"/>
  <c r="B948" i="2"/>
  <c r="H948" i="2" s="1"/>
  <c r="T948" i="1" s="1"/>
  <c r="G947" i="2"/>
  <c r="F947" i="2"/>
  <c r="B947" i="2"/>
  <c r="H947" i="2" s="1"/>
  <c r="T947" i="1" s="1"/>
  <c r="G946" i="2"/>
  <c r="F946" i="2"/>
  <c r="B946" i="2"/>
  <c r="H946" i="2" s="1"/>
  <c r="T946" i="1" s="1"/>
  <c r="G945" i="2"/>
  <c r="F945" i="2"/>
  <c r="B945" i="2"/>
  <c r="H945" i="2" s="1"/>
  <c r="T945" i="1" s="1"/>
  <c r="G944" i="2"/>
  <c r="F944" i="2"/>
  <c r="B944" i="2"/>
  <c r="H944" i="2" s="1"/>
  <c r="T944" i="1" s="1"/>
  <c r="G943" i="2"/>
  <c r="F943" i="2"/>
  <c r="B943" i="2"/>
  <c r="H943" i="2" s="1"/>
  <c r="T943" i="1" s="1"/>
  <c r="G942" i="2"/>
  <c r="F942" i="2"/>
  <c r="B942" i="2"/>
  <c r="H942" i="2" s="1"/>
  <c r="T942" i="1" s="1"/>
  <c r="G941" i="2"/>
  <c r="F941" i="2"/>
  <c r="B941" i="2"/>
  <c r="H941" i="2" s="1"/>
  <c r="T941" i="1" s="1"/>
  <c r="G940" i="2"/>
  <c r="F940" i="2"/>
  <c r="B940" i="2"/>
  <c r="H940" i="2" s="1"/>
  <c r="T940" i="1" s="1"/>
  <c r="G939" i="2"/>
  <c r="F939" i="2"/>
  <c r="B939" i="2"/>
  <c r="H939" i="2" s="1"/>
  <c r="T939" i="1" s="1"/>
  <c r="G938" i="2"/>
  <c r="F938" i="2"/>
  <c r="B938" i="2"/>
  <c r="H938" i="2" s="1"/>
  <c r="T938" i="1" s="1"/>
  <c r="G937" i="2"/>
  <c r="F937" i="2"/>
  <c r="B937" i="2"/>
  <c r="H937" i="2" s="1"/>
  <c r="T937" i="1" s="1"/>
  <c r="G936" i="2"/>
  <c r="F936" i="2"/>
  <c r="B936" i="2"/>
  <c r="H936" i="2" s="1"/>
  <c r="T936" i="1" s="1"/>
  <c r="G935" i="2"/>
  <c r="F935" i="2"/>
  <c r="B935" i="2"/>
  <c r="H935" i="2" s="1"/>
  <c r="T935" i="1" s="1"/>
  <c r="G934" i="2"/>
  <c r="F934" i="2"/>
  <c r="B934" i="2"/>
  <c r="H934" i="2" s="1"/>
  <c r="T934" i="1" s="1"/>
  <c r="G933" i="2"/>
  <c r="F933" i="2"/>
  <c r="B933" i="2"/>
  <c r="H933" i="2" s="1"/>
  <c r="T933" i="1" s="1"/>
  <c r="G932" i="2"/>
  <c r="F932" i="2"/>
  <c r="B932" i="2"/>
  <c r="H932" i="2" s="1"/>
  <c r="T932" i="1" s="1"/>
  <c r="G931" i="2"/>
  <c r="F931" i="2"/>
  <c r="B931" i="2"/>
  <c r="H931" i="2" s="1"/>
  <c r="T931" i="1" s="1"/>
  <c r="G930" i="2"/>
  <c r="F930" i="2"/>
  <c r="B930" i="2"/>
  <c r="H930" i="2" s="1"/>
  <c r="T930" i="1" s="1"/>
  <c r="G929" i="2"/>
  <c r="F929" i="2"/>
  <c r="B929" i="2"/>
  <c r="H929" i="2" s="1"/>
  <c r="T929" i="1" s="1"/>
  <c r="G928" i="2"/>
  <c r="F928" i="2"/>
  <c r="B928" i="2"/>
  <c r="H928" i="2" s="1"/>
  <c r="T928" i="1" s="1"/>
  <c r="G927" i="2"/>
  <c r="F927" i="2"/>
  <c r="B927" i="2"/>
  <c r="H927" i="2" s="1"/>
  <c r="T927" i="1" s="1"/>
  <c r="G926" i="2"/>
  <c r="F926" i="2"/>
  <c r="B926" i="2"/>
  <c r="H926" i="2" s="1"/>
  <c r="T926" i="1" s="1"/>
  <c r="G925" i="2"/>
  <c r="F925" i="2"/>
  <c r="B925" i="2"/>
  <c r="H925" i="2" s="1"/>
  <c r="T925" i="1" s="1"/>
  <c r="G924" i="2"/>
  <c r="F924" i="2"/>
  <c r="B924" i="2"/>
  <c r="H924" i="2" s="1"/>
  <c r="T924" i="1" s="1"/>
  <c r="G923" i="2"/>
  <c r="F923" i="2"/>
  <c r="B923" i="2"/>
  <c r="H923" i="2" s="1"/>
  <c r="T923" i="1" s="1"/>
  <c r="G922" i="2"/>
  <c r="F922" i="2"/>
  <c r="B922" i="2"/>
  <c r="H922" i="2" s="1"/>
  <c r="T922" i="1" s="1"/>
  <c r="G921" i="2"/>
  <c r="F921" i="2"/>
  <c r="B921" i="2"/>
  <c r="H921" i="2" s="1"/>
  <c r="T921" i="1" s="1"/>
  <c r="G920" i="2"/>
  <c r="F920" i="2"/>
  <c r="B920" i="2"/>
  <c r="H920" i="2" s="1"/>
  <c r="T920" i="1" s="1"/>
  <c r="G919" i="2"/>
  <c r="F919" i="2"/>
  <c r="B919" i="2"/>
  <c r="H919" i="2" s="1"/>
  <c r="T919" i="1" s="1"/>
  <c r="G918" i="2"/>
  <c r="F918" i="2"/>
  <c r="B918" i="2"/>
  <c r="H918" i="2" s="1"/>
  <c r="T918" i="1" s="1"/>
  <c r="G917" i="2"/>
  <c r="F917" i="2"/>
  <c r="B917" i="2"/>
  <c r="H917" i="2" s="1"/>
  <c r="T917" i="1" s="1"/>
  <c r="G916" i="2"/>
  <c r="F916" i="2"/>
  <c r="B916" i="2"/>
  <c r="H916" i="2" s="1"/>
  <c r="T916" i="1" s="1"/>
  <c r="G915" i="2"/>
  <c r="F915" i="2"/>
  <c r="B915" i="2"/>
  <c r="H915" i="2" s="1"/>
  <c r="T915" i="1" s="1"/>
  <c r="G914" i="2"/>
  <c r="F914" i="2"/>
  <c r="B914" i="2"/>
  <c r="H914" i="2" s="1"/>
  <c r="T914" i="1" s="1"/>
  <c r="G913" i="2"/>
  <c r="F913" i="2"/>
  <c r="B913" i="2"/>
  <c r="H913" i="2" s="1"/>
  <c r="T913" i="1" s="1"/>
  <c r="G912" i="2"/>
  <c r="F912" i="2"/>
  <c r="B912" i="2"/>
  <c r="H912" i="2" s="1"/>
  <c r="T912" i="1" s="1"/>
  <c r="G911" i="2"/>
  <c r="F911" i="2"/>
  <c r="B911" i="2"/>
  <c r="H911" i="2" s="1"/>
  <c r="T911" i="1" s="1"/>
  <c r="G910" i="2"/>
  <c r="F910" i="2"/>
  <c r="B910" i="2"/>
  <c r="H910" i="2" s="1"/>
  <c r="T910" i="1" s="1"/>
  <c r="G909" i="2"/>
  <c r="F909" i="2"/>
  <c r="B909" i="2"/>
  <c r="H909" i="2" s="1"/>
  <c r="T909" i="1" s="1"/>
  <c r="G908" i="2"/>
  <c r="F908" i="2"/>
  <c r="B908" i="2"/>
  <c r="H908" i="2" s="1"/>
  <c r="T908" i="1" s="1"/>
  <c r="G907" i="2"/>
  <c r="F907" i="2"/>
  <c r="B907" i="2"/>
  <c r="H907" i="2" s="1"/>
  <c r="T907" i="1" s="1"/>
  <c r="G906" i="2"/>
  <c r="F906" i="2"/>
  <c r="B906" i="2"/>
  <c r="H906" i="2" s="1"/>
  <c r="T906" i="1" s="1"/>
  <c r="G905" i="2"/>
  <c r="F905" i="2"/>
  <c r="B905" i="2"/>
  <c r="H905" i="2" s="1"/>
  <c r="T905" i="1" s="1"/>
  <c r="G904" i="2"/>
  <c r="F904" i="2"/>
  <c r="B904" i="2"/>
  <c r="H904" i="2" s="1"/>
  <c r="T904" i="1" s="1"/>
  <c r="G903" i="2"/>
  <c r="F903" i="2"/>
  <c r="B903" i="2"/>
  <c r="H903" i="2" s="1"/>
  <c r="T903" i="1" s="1"/>
  <c r="G902" i="2"/>
  <c r="F902" i="2"/>
  <c r="B902" i="2"/>
  <c r="H902" i="2" s="1"/>
  <c r="T902" i="1" s="1"/>
  <c r="G901" i="2"/>
  <c r="F901" i="2"/>
  <c r="B901" i="2"/>
  <c r="H901" i="2" s="1"/>
  <c r="T901" i="1" s="1"/>
  <c r="G900" i="2"/>
  <c r="F900" i="2"/>
  <c r="B900" i="2"/>
  <c r="H900" i="2" s="1"/>
  <c r="T900" i="1" s="1"/>
  <c r="G899" i="2"/>
  <c r="F899" i="2"/>
  <c r="B899" i="2"/>
  <c r="H899" i="2" s="1"/>
  <c r="T899" i="1" s="1"/>
  <c r="G898" i="2"/>
  <c r="F898" i="2"/>
  <c r="B898" i="2"/>
  <c r="H898" i="2" s="1"/>
  <c r="T898" i="1" s="1"/>
  <c r="G897" i="2"/>
  <c r="F897" i="2"/>
  <c r="B897" i="2"/>
  <c r="H897" i="2" s="1"/>
  <c r="T897" i="1" s="1"/>
  <c r="G896" i="2"/>
  <c r="F896" i="2"/>
  <c r="B896" i="2"/>
  <c r="H896" i="2" s="1"/>
  <c r="T896" i="1" s="1"/>
  <c r="G895" i="2"/>
  <c r="F895" i="2"/>
  <c r="B895" i="2"/>
  <c r="H895" i="2" s="1"/>
  <c r="T895" i="1" s="1"/>
  <c r="G894" i="2"/>
  <c r="F894" i="2"/>
  <c r="B894" i="2"/>
  <c r="H894" i="2" s="1"/>
  <c r="T894" i="1" s="1"/>
  <c r="G893" i="2"/>
  <c r="F893" i="2"/>
  <c r="B893" i="2"/>
  <c r="H893" i="2" s="1"/>
  <c r="T893" i="1" s="1"/>
  <c r="G892" i="2"/>
  <c r="F892" i="2"/>
  <c r="B892" i="2"/>
  <c r="H892" i="2" s="1"/>
  <c r="T892" i="1" s="1"/>
  <c r="G891" i="2"/>
  <c r="F891" i="2"/>
  <c r="B891" i="2"/>
  <c r="H891" i="2" s="1"/>
  <c r="T891" i="1" s="1"/>
  <c r="G890" i="2"/>
  <c r="F890" i="2"/>
  <c r="B890" i="2"/>
  <c r="H890" i="2" s="1"/>
  <c r="T890" i="1" s="1"/>
  <c r="G889" i="2"/>
  <c r="F889" i="2"/>
  <c r="B889" i="2"/>
  <c r="H889" i="2" s="1"/>
  <c r="T889" i="1" s="1"/>
  <c r="G888" i="2"/>
  <c r="F888" i="2"/>
  <c r="B888" i="2"/>
  <c r="H888" i="2" s="1"/>
  <c r="T888" i="1" s="1"/>
  <c r="G887" i="2"/>
  <c r="F887" i="2"/>
  <c r="B887" i="2"/>
  <c r="H887" i="2" s="1"/>
  <c r="T887" i="1" s="1"/>
  <c r="G886" i="2"/>
  <c r="F886" i="2"/>
  <c r="B886" i="2"/>
  <c r="H886" i="2" s="1"/>
  <c r="T886" i="1" s="1"/>
  <c r="G885" i="2"/>
  <c r="F885" i="2"/>
  <c r="B885" i="2"/>
  <c r="H885" i="2" s="1"/>
  <c r="T885" i="1" s="1"/>
  <c r="G884" i="2"/>
  <c r="F884" i="2"/>
  <c r="B884" i="2"/>
  <c r="H884" i="2" s="1"/>
  <c r="T884" i="1" s="1"/>
  <c r="G883" i="2"/>
  <c r="F883" i="2"/>
  <c r="B883" i="2"/>
  <c r="H883" i="2" s="1"/>
  <c r="T883" i="1" s="1"/>
  <c r="G882" i="2"/>
  <c r="F882" i="2"/>
  <c r="B882" i="2"/>
  <c r="H882" i="2" s="1"/>
  <c r="T882" i="1" s="1"/>
  <c r="G881" i="2"/>
  <c r="F881" i="2"/>
  <c r="B881" i="2"/>
  <c r="H881" i="2" s="1"/>
  <c r="T881" i="1" s="1"/>
  <c r="G880" i="2"/>
  <c r="F880" i="2"/>
  <c r="B880" i="2"/>
  <c r="H880" i="2" s="1"/>
  <c r="T880" i="1" s="1"/>
  <c r="G879" i="2"/>
  <c r="F879" i="2"/>
  <c r="B879" i="2"/>
  <c r="H879" i="2" s="1"/>
  <c r="T879" i="1" s="1"/>
  <c r="G878" i="2"/>
  <c r="F878" i="2"/>
  <c r="B878" i="2"/>
  <c r="H878" i="2" s="1"/>
  <c r="T878" i="1" s="1"/>
  <c r="G877" i="2"/>
  <c r="F877" i="2"/>
  <c r="B877" i="2"/>
  <c r="H877" i="2" s="1"/>
  <c r="T877" i="1" s="1"/>
  <c r="G876" i="2"/>
  <c r="F876" i="2"/>
  <c r="B876" i="2"/>
  <c r="H876" i="2" s="1"/>
  <c r="T876" i="1" s="1"/>
  <c r="G875" i="2"/>
  <c r="F875" i="2"/>
  <c r="B875" i="2"/>
  <c r="H875" i="2" s="1"/>
  <c r="T875" i="1" s="1"/>
  <c r="G874" i="2"/>
  <c r="F874" i="2"/>
  <c r="B874" i="2"/>
  <c r="H874" i="2" s="1"/>
  <c r="T874" i="1" s="1"/>
  <c r="G873" i="2"/>
  <c r="F873" i="2"/>
  <c r="B873" i="2"/>
  <c r="H873" i="2" s="1"/>
  <c r="T873" i="1" s="1"/>
  <c r="G872" i="2"/>
  <c r="F872" i="2"/>
  <c r="B872" i="2"/>
  <c r="H872" i="2" s="1"/>
  <c r="T872" i="1" s="1"/>
  <c r="G871" i="2"/>
  <c r="F871" i="2"/>
  <c r="B871" i="2"/>
  <c r="H871" i="2" s="1"/>
  <c r="T871" i="1" s="1"/>
  <c r="G870" i="2"/>
  <c r="F870" i="2"/>
  <c r="B870" i="2"/>
  <c r="H870" i="2" s="1"/>
  <c r="T870" i="1" s="1"/>
  <c r="G869" i="2"/>
  <c r="F869" i="2"/>
  <c r="B869" i="2"/>
  <c r="H869" i="2" s="1"/>
  <c r="T869" i="1" s="1"/>
  <c r="G868" i="2"/>
  <c r="F868" i="2"/>
  <c r="B868" i="2"/>
  <c r="H868" i="2" s="1"/>
  <c r="T868" i="1" s="1"/>
  <c r="G867" i="2"/>
  <c r="F867" i="2"/>
  <c r="B867" i="2"/>
  <c r="H867" i="2" s="1"/>
  <c r="T867" i="1" s="1"/>
  <c r="G866" i="2"/>
  <c r="F866" i="2"/>
  <c r="B866" i="2"/>
  <c r="H866" i="2" s="1"/>
  <c r="T866" i="1" s="1"/>
  <c r="G865" i="2"/>
  <c r="F865" i="2"/>
  <c r="B865" i="2"/>
  <c r="H865" i="2" s="1"/>
  <c r="T865" i="1" s="1"/>
  <c r="G864" i="2"/>
  <c r="F864" i="2"/>
  <c r="B864" i="2"/>
  <c r="H864" i="2" s="1"/>
  <c r="T864" i="1" s="1"/>
  <c r="G863" i="2"/>
  <c r="F863" i="2"/>
  <c r="B863" i="2"/>
  <c r="H863" i="2" s="1"/>
  <c r="T863" i="1" s="1"/>
  <c r="G862" i="2"/>
  <c r="F862" i="2"/>
  <c r="B862" i="2"/>
  <c r="H862" i="2" s="1"/>
  <c r="T862" i="1" s="1"/>
  <c r="G861" i="2"/>
  <c r="F861" i="2"/>
  <c r="B861" i="2"/>
  <c r="H861" i="2" s="1"/>
  <c r="T861" i="1" s="1"/>
  <c r="G860" i="2"/>
  <c r="F860" i="2"/>
  <c r="B860" i="2"/>
  <c r="H860" i="2" s="1"/>
  <c r="T860" i="1" s="1"/>
  <c r="G859" i="2"/>
  <c r="F859" i="2"/>
  <c r="B859" i="2"/>
  <c r="H859" i="2" s="1"/>
  <c r="T859" i="1" s="1"/>
  <c r="G858" i="2"/>
  <c r="F858" i="2"/>
  <c r="B858" i="2"/>
  <c r="H858" i="2" s="1"/>
  <c r="T858" i="1" s="1"/>
  <c r="G857" i="2"/>
  <c r="F857" i="2"/>
  <c r="B857" i="2"/>
  <c r="H857" i="2" s="1"/>
  <c r="T857" i="1" s="1"/>
  <c r="G856" i="2"/>
  <c r="F856" i="2"/>
  <c r="B856" i="2"/>
  <c r="H856" i="2" s="1"/>
  <c r="T856" i="1" s="1"/>
  <c r="G855" i="2"/>
  <c r="F855" i="2"/>
  <c r="B855" i="2"/>
  <c r="H855" i="2" s="1"/>
  <c r="T855" i="1" s="1"/>
  <c r="G854" i="2"/>
  <c r="F854" i="2"/>
  <c r="B854" i="2"/>
  <c r="H854" i="2" s="1"/>
  <c r="T854" i="1" s="1"/>
  <c r="G853" i="2"/>
  <c r="F853" i="2"/>
  <c r="B853" i="2"/>
  <c r="H853" i="2" s="1"/>
  <c r="T853" i="1" s="1"/>
  <c r="G852" i="2"/>
  <c r="F852" i="2"/>
  <c r="B852" i="2"/>
  <c r="H852" i="2" s="1"/>
  <c r="T852" i="1" s="1"/>
  <c r="G851" i="2"/>
  <c r="F851" i="2"/>
  <c r="B851" i="2"/>
  <c r="H851" i="2" s="1"/>
  <c r="T851" i="1" s="1"/>
  <c r="G850" i="2"/>
  <c r="F850" i="2"/>
  <c r="B850" i="2"/>
  <c r="H850" i="2" s="1"/>
  <c r="T850" i="1" s="1"/>
  <c r="G849" i="2"/>
  <c r="F849" i="2"/>
  <c r="B849" i="2"/>
  <c r="H849" i="2" s="1"/>
  <c r="T849" i="1" s="1"/>
  <c r="G848" i="2"/>
  <c r="F848" i="2"/>
  <c r="B848" i="2"/>
  <c r="H848" i="2" s="1"/>
  <c r="T848" i="1" s="1"/>
  <c r="G847" i="2"/>
  <c r="F847" i="2"/>
  <c r="B847" i="2"/>
  <c r="H847" i="2" s="1"/>
  <c r="T847" i="1" s="1"/>
  <c r="G846" i="2"/>
  <c r="F846" i="2"/>
  <c r="B846" i="2"/>
  <c r="H846" i="2" s="1"/>
  <c r="T846" i="1" s="1"/>
  <c r="G845" i="2"/>
  <c r="F845" i="2"/>
  <c r="B845" i="2"/>
  <c r="H845" i="2" s="1"/>
  <c r="T845" i="1" s="1"/>
  <c r="G844" i="2"/>
  <c r="F844" i="2"/>
  <c r="B844" i="2"/>
  <c r="H844" i="2" s="1"/>
  <c r="T844" i="1" s="1"/>
  <c r="G843" i="2"/>
  <c r="F843" i="2"/>
  <c r="B843" i="2"/>
  <c r="H843" i="2" s="1"/>
  <c r="T843" i="1" s="1"/>
  <c r="G842" i="2"/>
  <c r="F842" i="2"/>
  <c r="B842" i="2"/>
  <c r="H842" i="2" s="1"/>
  <c r="T842" i="1" s="1"/>
  <c r="G841" i="2"/>
  <c r="F841" i="2"/>
  <c r="B841" i="2"/>
  <c r="H841" i="2" s="1"/>
  <c r="T841" i="1" s="1"/>
  <c r="G840" i="2"/>
  <c r="F840" i="2"/>
  <c r="B840" i="2"/>
  <c r="H840" i="2" s="1"/>
  <c r="T840" i="1" s="1"/>
  <c r="G839" i="2"/>
  <c r="F839" i="2"/>
  <c r="B839" i="2"/>
  <c r="H839" i="2" s="1"/>
  <c r="T839" i="1" s="1"/>
  <c r="G838" i="2"/>
  <c r="F838" i="2"/>
  <c r="B838" i="2"/>
  <c r="H838" i="2" s="1"/>
  <c r="T838" i="1" s="1"/>
  <c r="G837" i="2"/>
  <c r="F837" i="2"/>
  <c r="B837" i="2"/>
  <c r="H837" i="2" s="1"/>
  <c r="T837" i="1" s="1"/>
  <c r="G836" i="2"/>
  <c r="F836" i="2"/>
  <c r="B836" i="2"/>
  <c r="H836" i="2" s="1"/>
  <c r="T836" i="1" s="1"/>
  <c r="G835" i="2"/>
  <c r="F835" i="2"/>
  <c r="B835" i="2"/>
  <c r="H835" i="2" s="1"/>
  <c r="T835" i="1" s="1"/>
  <c r="G834" i="2"/>
  <c r="F834" i="2"/>
  <c r="B834" i="2"/>
  <c r="H834" i="2" s="1"/>
  <c r="T834" i="1" s="1"/>
  <c r="G833" i="2"/>
  <c r="F833" i="2"/>
  <c r="B833" i="2"/>
  <c r="H833" i="2" s="1"/>
  <c r="T833" i="1" s="1"/>
  <c r="G832" i="2"/>
  <c r="F832" i="2"/>
  <c r="B832" i="2"/>
  <c r="H832" i="2" s="1"/>
  <c r="T832" i="1" s="1"/>
  <c r="G831" i="2"/>
  <c r="F831" i="2"/>
  <c r="B831" i="2"/>
  <c r="H831" i="2" s="1"/>
  <c r="T831" i="1" s="1"/>
  <c r="G830" i="2"/>
  <c r="F830" i="2"/>
  <c r="B830" i="2"/>
  <c r="H830" i="2" s="1"/>
  <c r="T830" i="1" s="1"/>
  <c r="G829" i="2"/>
  <c r="F829" i="2"/>
  <c r="B829" i="2"/>
  <c r="H829" i="2" s="1"/>
  <c r="T829" i="1" s="1"/>
  <c r="G828" i="2"/>
  <c r="F828" i="2"/>
  <c r="B828" i="2"/>
  <c r="H828" i="2" s="1"/>
  <c r="T828" i="1" s="1"/>
  <c r="G827" i="2"/>
  <c r="F827" i="2"/>
  <c r="B827" i="2"/>
  <c r="H827" i="2" s="1"/>
  <c r="T827" i="1" s="1"/>
  <c r="G826" i="2"/>
  <c r="F826" i="2"/>
  <c r="B826" i="2"/>
  <c r="H826" i="2" s="1"/>
  <c r="T826" i="1" s="1"/>
  <c r="G825" i="2"/>
  <c r="F825" i="2"/>
  <c r="B825" i="2"/>
  <c r="H825" i="2" s="1"/>
  <c r="T825" i="1" s="1"/>
  <c r="G824" i="2"/>
  <c r="F824" i="2"/>
  <c r="B824" i="2"/>
  <c r="H824" i="2" s="1"/>
  <c r="T824" i="1" s="1"/>
  <c r="G823" i="2"/>
  <c r="F823" i="2"/>
  <c r="B823" i="2"/>
  <c r="H823" i="2" s="1"/>
  <c r="T823" i="1" s="1"/>
  <c r="G822" i="2"/>
  <c r="F822" i="2"/>
  <c r="B822" i="2"/>
  <c r="H822" i="2" s="1"/>
  <c r="T822" i="1" s="1"/>
  <c r="G821" i="2"/>
  <c r="F821" i="2"/>
  <c r="B821" i="2"/>
  <c r="H821" i="2" s="1"/>
  <c r="T821" i="1" s="1"/>
  <c r="G820" i="2"/>
  <c r="F820" i="2"/>
  <c r="B820" i="2"/>
  <c r="H820" i="2" s="1"/>
  <c r="T820" i="1" s="1"/>
  <c r="G819" i="2"/>
  <c r="F819" i="2"/>
  <c r="B819" i="2"/>
  <c r="H819" i="2" s="1"/>
  <c r="T819" i="1" s="1"/>
  <c r="G818" i="2"/>
  <c r="F818" i="2"/>
  <c r="B818" i="2"/>
  <c r="H818" i="2" s="1"/>
  <c r="T818" i="1" s="1"/>
  <c r="G817" i="2"/>
  <c r="F817" i="2"/>
  <c r="B817" i="2"/>
  <c r="H817" i="2" s="1"/>
  <c r="T817" i="1" s="1"/>
  <c r="G816" i="2"/>
  <c r="F816" i="2"/>
  <c r="B816" i="2"/>
  <c r="H816" i="2" s="1"/>
  <c r="T816" i="1" s="1"/>
  <c r="G815" i="2"/>
  <c r="F815" i="2"/>
  <c r="B815" i="2"/>
  <c r="H815" i="2" s="1"/>
  <c r="T815" i="1" s="1"/>
  <c r="G814" i="2"/>
  <c r="F814" i="2"/>
  <c r="B814" i="2"/>
  <c r="H814" i="2" s="1"/>
  <c r="T814" i="1" s="1"/>
  <c r="G813" i="2"/>
  <c r="F813" i="2"/>
  <c r="B813" i="2"/>
  <c r="H813" i="2" s="1"/>
  <c r="T813" i="1" s="1"/>
  <c r="G812" i="2"/>
  <c r="F812" i="2"/>
  <c r="B812" i="2"/>
  <c r="H812" i="2" s="1"/>
  <c r="T812" i="1" s="1"/>
  <c r="G811" i="2"/>
  <c r="F811" i="2"/>
  <c r="B811" i="2"/>
  <c r="H811" i="2" s="1"/>
  <c r="T811" i="1" s="1"/>
  <c r="G810" i="2"/>
  <c r="F810" i="2"/>
  <c r="B810" i="2"/>
  <c r="H810" i="2" s="1"/>
  <c r="T810" i="1" s="1"/>
  <c r="G809" i="2"/>
  <c r="F809" i="2"/>
  <c r="B809" i="2"/>
  <c r="H809" i="2" s="1"/>
  <c r="T809" i="1" s="1"/>
  <c r="G808" i="2"/>
  <c r="F808" i="2"/>
  <c r="B808" i="2"/>
  <c r="H808" i="2" s="1"/>
  <c r="T808" i="1" s="1"/>
  <c r="G807" i="2"/>
  <c r="F807" i="2"/>
  <c r="B807" i="2"/>
  <c r="H807" i="2" s="1"/>
  <c r="T807" i="1" s="1"/>
  <c r="G806" i="2"/>
  <c r="F806" i="2"/>
  <c r="B806" i="2"/>
  <c r="H806" i="2" s="1"/>
  <c r="T806" i="1" s="1"/>
  <c r="G805" i="2"/>
  <c r="F805" i="2"/>
  <c r="B805" i="2"/>
  <c r="H805" i="2" s="1"/>
  <c r="T805" i="1" s="1"/>
  <c r="G804" i="2"/>
  <c r="F804" i="2"/>
  <c r="B804" i="2"/>
  <c r="H804" i="2" s="1"/>
  <c r="T804" i="1" s="1"/>
  <c r="G803" i="2"/>
  <c r="F803" i="2"/>
  <c r="B803" i="2"/>
  <c r="H803" i="2" s="1"/>
  <c r="T803" i="1" s="1"/>
  <c r="G802" i="2"/>
  <c r="F802" i="2"/>
  <c r="B802" i="2"/>
  <c r="H802" i="2" s="1"/>
  <c r="T802" i="1" s="1"/>
  <c r="G801" i="2"/>
  <c r="F801" i="2"/>
  <c r="B801" i="2"/>
  <c r="H801" i="2" s="1"/>
  <c r="T801" i="1" s="1"/>
  <c r="G800" i="2"/>
  <c r="F800" i="2"/>
  <c r="B800" i="2"/>
  <c r="H800" i="2" s="1"/>
  <c r="T800" i="1" s="1"/>
  <c r="G799" i="2"/>
  <c r="F799" i="2"/>
  <c r="B799" i="2"/>
  <c r="H799" i="2" s="1"/>
  <c r="T799" i="1" s="1"/>
  <c r="G798" i="2"/>
  <c r="F798" i="2"/>
  <c r="B798" i="2"/>
  <c r="H798" i="2" s="1"/>
  <c r="T798" i="1" s="1"/>
  <c r="G797" i="2"/>
  <c r="F797" i="2"/>
  <c r="B797" i="2"/>
  <c r="H797" i="2" s="1"/>
  <c r="T797" i="1" s="1"/>
  <c r="G796" i="2"/>
  <c r="F796" i="2"/>
  <c r="B796" i="2"/>
  <c r="H796" i="2" s="1"/>
  <c r="T796" i="1" s="1"/>
  <c r="G795" i="2"/>
  <c r="F795" i="2"/>
  <c r="B795" i="2"/>
  <c r="H795" i="2" s="1"/>
  <c r="T795" i="1" s="1"/>
  <c r="G794" i="2"/>
  <c r="F794" i="2"/>
  <c r="B794" i="2"/>
  <c r="H794" i="2" s="1"/>
  <c r="T794" i="1" s="1"/>
  <c r="G793" i="2"/>
  <c r="F793" i="2"/>
  <c r="B793" i="2"/>
  <c r="H793" i="2" s="1"/>
  <c r="T793" i="1" s="1"/>
  <c r="G792" i="2"/>
  <c r="F792" i="2"/>
  <c r="B792" i="2"/>
  <c r="H792" i="2" s="1"/>
  <c r="T792" i="1" s="1"/>
  <c r="G791" i="2"/>
  <c r="F791" i="2"/>
  <c r="B791" i="2"/>
  <c r="H791" i="2" s="1"/>
  <c r="T791" i="1" s="1"/>
  <c r="G790" i="2"/>
  <c r="F790" i="2"/>
  <c r="B790" i="2"/>
  <c r="H790" i="2" s="1"/>
  <c r="T790" i="1" s="1"/>
  <c r="G789" i="2"/>
  <c r="F789" i="2"/>
  <c r="B789" i="2"/>
  <c r="H789" i="2" s="1"/>
  <c r="T789" i="1" s="1"/>
  <c r="G788" i="2"/>
  <c r="F788" i="2"/>
  <c r="B788" i="2"/>
  <c r="H788" i="2" s="1"/>
  <c r="T788" i="1" s="1"/>
  <c r="G787" i="2"/>
  <c r="F787" i="2"/>
  <c r="B787" i="2"/>
  <c r="H787" i="2" s="1"/>
  <c r="T787" i="1" s="1"/>
  <c r="G786" i="2"/>
  <c r="F786" i="2"/>
  <c r="B786" i="2"/>
  <c r="H786" i="2" s="1"/>
  <c r="T786" i="1" s="1"/>
  <c r="G785" i="2"/>
  <c r="F785" i="2"/>
  <c r="B785" i="2"/>
  <c r="H785" i="2" s="1"/>
  <c r="T785" i="1" s="1"/>
  <c r="G784" i="2"/>
  <c r="F784" i="2"/>
  <c r="B784" i="2"/>
  <c r="H784" i="2" s="1"/>
  <c r="T784" i="1" s="1"/>
  <c r="G783" i="2"/>
  <c r="F783" i="2"/>
  <c r="B783" i="2"/>
  <c r="H783" i="2" s="1"/>
  <c r="T783" i="1" s="1"/>
  <c r="G782" i="2"/>
  <c r="F782" i="2"/>
  <c r="B782" i="2"/>
  <c r="H782" i="2" s="1"/>
  <c r="T782" i="1" s="1"/>
  <c r="G781" i="2"/>
  <c r="F781" i="2"/>
  <c r="B781" i="2"/>
  <c r="H781" i="2" s="1"/>
  <c r="T781" i="1" s="1"/>
  <c r="G780" i="2"/>
  <c r="F780" i="2"/>
  <c r="B780" i="2"/>
  <c r="H780" i="2" s="1"/>
  <c r="T780" i="1" s="1"/>
  <c r="G779" i="2"/>
  <c r="F779" i="2"/>
  <c r="B779" i="2"/>
  <c r="H779" i="2" s="1"/>
  <c r="T779" i="1" s="1"/>
  <c r="G778" i="2"/>
  <c r="F778" i="2"/>
  <c r="B778" i="2"/>
  <c r="H778" i="2" s="1"/>
  <c r="T778" i="1" s="1"/>
  <c r="G777" i="2"/>
  <c r="F777" i="2"/>
  <c r="B777" i="2"/>
  <c r="H777" i="2" s="1"/>
  <c r="T777" i="1" s="1"/>
  <c r="G776" i="2"/>
  <c r="F776" i="2"/>
  <c r="B776" i="2"/>
  <c r="H776" i="2" s="1"/>
  <c r="T776" i="1" s="1"/>
  <c r="G775" i="2"/>
  <c r="F775" i="2"/>
  <c r="B775" i="2"/>
  <c r="H775" i="2" s="1"/>
  <c r="T775" i="1" s="1"/>
  <c r="G774" i="2"/>
  <c r="F774" i="2"/>
  <c r="B774" i="2"/>
  <c r="H774" i="2" s="1"/>
  <c r="T774" i="1" s="1"/>
  <c r="G773" i="2"/>
  <c r="F773" i="2"/>
  <c r="B773" i="2"/>
  <c r="H773" i="2" s="1"/>
  <c r="T773" i="1" s="1"/>
  <c r="G772" i="2"/>
  <c r="F772" i="2"/>
  <c r="B772" i="2"/>
  <c r="H772" i="2" s="1"/>
  <c r="T772" i="1" s="1"/>
  <c r="G771" i="2"/>
  <c r="F771" i="2"/>
  <c r="B771" i="2"/>
  <c r="H771" i="2" s="1"/>
  <c r="T771" i="1" s="1"/>
  <c r="G770" i="2"/>
  <c r="F770" i="2"/>
  <c r="B770" i="2"/>
  <c r="H770" i="2" s="1"/>
  <c r="T770" i="1" s="1"/>
  <c r="G769" i="2"/>
  <c r="F769" i="2"/>
  <c r="B769" i="2"/>
  <c r="H769" i="2" s="1"/>
  <c r="T769" i="1" s="1"/>
  <c r="G768" i="2"/>
  <c r="F768" i="2"/>
  <c r="B768" i="2"/>
  <c r="H768" i="2" s="1"/>
  <c r="T768" i="1" s="1"/>
  <c r="G767" i="2"/>
  <c r="F767" i="2"/>
  <c r="B767" i="2"/>
  <c r="H767" i="2" s="1"/>
  <c r="T767" i="1" s="1"/>
  <c r="G766" i="2"/>
  <c r="F766" i="2"/>
  <c r="B766" i="2"/>
  <c r="H766" i="2" s="1"/>
  <c r="T766" i="1" s="1"/>
  <c r="G765" i="2"/>
  <c r="F765" i="2"/>
  <c r="B765" i="2"/>
  <c r="H765" i="2" s="1"/>
  <c r="T765" i="1" s="1"/>
  <c r="G764" i="2"/>
  <c r="F764" i="2"/>
  <c r="B764" i="2"/>
  <c r="H764" i="2" s="1"/>
  <c r="T764" i="1" s="1"/>
  <c r="G763" i="2"/>
  <c r="F763" i="2"/>
  <c r="B763" i="2"/>
  <c r="H763" i="2" s="1"/>
  <c r="T763" i="1" s="1"/>
  <c r="G762" i="2"/>
  <c r="F762" i="2"/>
  <c r="B762" i="2"/>
  <c r="H762" i="2" s="1"/>
  <c r="T762" i="1" s="1"/>
  <c r="G761" i="2"/>
  <c r="F761" i="2"/>
  <c r="B761" i="2"/>
  <c r="H761" i="2" s="1"/>
  <c r="T761" i="1" s="1"/>
  <c r="G760" i="2"/>
  <c r="F760" i="2"/>
  <c r="B760" i="2"/>
  <c r="H760" i="2" s="1"/>
  <c r="T760" i="1" s="1"/>
  <c r="G759" i="2"/>
  <c r="F759" i="2"/>
  <c r="B759" i="2"/>
  <c r="H759" i="2" s="1"/>
  <c r="T759" i="1" s="1"/>
  <c r="G758" i="2"/>
  <c r="F758" i="2"/>
  <c r="B758" i="2"/>
  <c r="H758" i="2" s="1"/>
  <c r="T758" i="1" s="1"/>
  <c r="G757" i="2"/>
  <c r="F757" i="2"/>
  <c r="B757" i="2"/>
  <c r="H757" i="2" s="1"/>
  <c r="T757" i="1" s="1"/>
  <c r="G756" i="2"/>
  <c r="F756" i="2"/>
  <c r="B756" i="2"/>
  <c r="H756" i="2" s="1"/>
  <c r="T756" i="1" s="1"/>
  <c r="G755" i="2"/>
  <c r="F755" i="2"/>
  <c r="B755" i="2"/>
  <c r="H755" i="2" s="1"/>
  <c r="T755" i="1" s="1"/>
  <c r="G754" i="2"/>
  <c r="F754" i="2"/>
  <c r="B754" i="2"/>
  <c r="H754" i="2" s="1"/>
  <c r="T754" i="1" s="1"/>
  <c r="G753" i="2"/>
  <c r="F753" i="2"/>
  <c r="B753" i="2"/>
  <c r="H753" i="2" s="1"/>
  <c r="T753" i="1" s="1"/>
  <c r="G752" i="2"/>
  <c r="F752" i="2"/>
  <c r="B752" i="2"/>
  <c r="H752" i="2" s="1"/>
  <c r="T752" i="1" s="1"/>
  <c r="G751" i="2"/>
  <c r="F751" i="2"/>
  <c r="B751" i="2"/>
  <c r="H751" i="2" s="1"/>
  <c r="T751" i="1" s="1"/>
  <c r="G750" i="2"/>
  <c r="F750" i="2"/>
  <c r="B750" i="2"/>
  <c r="H750" i="2" s="1"/>
  <c r="T750" i="1" s="1"/>
  <c r="G749" i="2"/>
  <c r="F749" i="2"/>
  <c r="B749" i="2"/>
  <c r="H749" i="2" s="1"/>
  <c r="T749" i="1" s="1"/>
  <c r="G748" i="2"/>
  <c r="F748" i="2"/>
  <c r="B748" i="2"/>
  <c r="H748" i="2" s="1"/>
  <c r="T748" i="1" s="1"/>
  <c r="G747" i="2"/>
  <c r="F747" i="2"/>
  <c r="B747" i="2"/>
  <c r="H747" i="2" s="1"/>
  <c r="T747" i="1" s="1"/>
  <c r="G746" i="2"/>
  <c r="F746" i="2"/>
  <c r="B746" i="2"/>
  <c r="H746" i="2" s="1"/>
  <c r="T746" i="1" s="1"/>
  <c r="G745" i="2"/>
  <c r="F745" i="2"/>
  <c r="B745" i="2"/>
  <c r="H745" i="2" s="1"/>
  <c r="T745" i="1" s="1"/>
  <c r="G744" i="2"/>
  <c r="F744" i="2"/>
  <c r="B744" i="2"/>
  <c r="H744" i="2" s="1"/>
  <c r="T744" i="1" s="1"/>
  <c r="G743" i="2"/>
  <c r="F743" i="2"/>
  <c r="B743" i="2"/>
  <c r="H743" i="2" s="1"/>
  <c r="T743" i="1" s="1"/>
  <c r="G742" i="2"/>
  <c r="F742" i="2"/>
  <c r="B742" i="2"/>
  <c r="H742" i="2" s="1"/>
  <c r="T742" i="1" s="1"/>
  <c r="G741" i="2"/>
  <c r="F741" i="2"/>
  <c r="B741" i="2"/>
  <c r="H741" i="2" s="1"/>
  <c r="T741" i="1" s="1"/>
  <c r="G740" i="2"/>
  <c r="F740" i="2"/>
  <c r="B740" i="2"/>
  <c r="H740" i="2" s="1"/>
  <c r="T740" i="1" s="1"/>
  <c r="G739" i="2"/>
  <c r="F739" i="2"/>
  <c r="B739" i="2"/>
  <c r="H739" i="2" s="1"/>
  <c r="T739" i="1" s="1"/>
  <c r="G738" i="2"/>
  <c r="F738" i="2"/>
  <c r="B738" i="2"/>
  <c r="H738" i="2" s="1"/>
  <c r="T738" i="1" s="1"/>
  <c r="G737" i="2"/>
  <c r="F737" i="2"/>
  <c r="B737" i="2"/>
  <c r="H737" i="2" s="1"/>
  <c r="T737" i="1" s="1"/>
  <c r="G736" i="2"/>
  <c r="F736" i="2"/>
  <c r="B736" i="2"/>
  <c r="H736" i="2" s="1"/>
  <c r="T736" i="1" s="1"/>
  <c r="G735" i="2"/>
  <c r="F735" i="2"/>
  <c r="B735" i="2"/>
  <c r="H735" i="2" s="1"/>
  <c r="T735" i="1" s="1"/>
  <c r="G734" i="2"/>
  <c r="F734" i="2"/>
  <c r="B734" i="2"/>
  <c r="H734" i="2" s="1"/>
  <c r="T734" i="1" s="1"/>
  <c r="G733" i="2"/>
  <c r="F733" i="2"/>
  <c r="B733" i="2"/>
  <c r="H733" i="2" s="1"/>
  <c r="T733" i="1" s="1"/>
  <c r="G732" i="2"/>
  <c r="F732" i="2"/>
  <c r="B732" i="2"/>
  <c r="H732" i="2" s="1"/>
  <c r="T732" i="1" s="1"/>
  <c r="G731" i="2"/>
  <c r="F731" i="2"/>
  <c r="B731" i="2"/>
  <c r="H731" i="2" s="1"/>
  <c r="T731" i="1" s="1"/>
  <c r="G730" i="2"/>
  <c r="F730" i="2"/>
  <c r="B730" i="2"/>
  <c r="H730" i="2" s="1"/>
  <c r="T730" i="1" s="1"/>
  <c r="G729" i="2"/>
  <c r="F729" i="2"/>
  <c r="B729" i="2"/>
  <c r="H729" i="2" s="1"/>
  <c r="T729" i="1" s="1"/>
  <c r="G728" i="2"/>
  <c r="F728" i="2"/>
  <c r="B728" i="2"/>
  <c r="H728" i="2" s="1"/>
  <c r="T728" i="1" s="1"/>
  <c r="G727" i="2"/>
  <c r="F727" i="2"/>
  <c r="B727" i="2"/>
  <c r="H727" i="2" s="1"/>
  <c r="T727" i="1" s="1"/>
  <c r="G726" i="2"/>
  <c r="F726" i="2"/>
  <c r="B726" i="2"/>
  <c r="H726" i="2" s="1"/>
  <c r="T726" i="1" s="1"/>
  <c r="G725" i="2"/>
  <c r="F725" i="2"/>
  <c r="B725" i="2"/>
  <c r="H725" i="2" s="1"/>
  <c r="T725" i="1" s="1"/>
  <c r="G724" i="2"/>
  <c r="F724" i="2"/>
  <c r="B724" i="2"/>
  <c r="H724" i="2" s="1"/>
  <c r="T724" i="1" s="1"/>
  <c r="G723" i="2"/>
  <c r="F723" i="2"/>
  <c r="B723" i="2"/>
  <c r="H723" i="2" s="1"/>
  <c r="T723" i="1" s="1"/>
  <c r="G722" i="2"/>
  <c r="F722" i="2"/>
  <c r="B722" i="2"/>
  <c r="H722" i="2" s="1"/>
  <c r="T722" i="1" s="1"/>
  <c r="G721" i="2"/>
  <c r="F721" i="2"/>
  <c r="B721" i="2"/>
  <c r="H721" i="2" s="1"/>
  <c r="T721" i="1" s="1"/>
  <c r="G720" i="2"/>
  <c r="F720" i="2"/>
  <c r="B720" i="2"/>
  <c r="H720" i="2" s="1"/>
  <c r="T720" i="1" s="1"/>
  <c r="G719" i="2"/>
  <c r="F719" i="2"/>
  <c r="B719" i="2"/>
  <c r="H719" i="2" s="1"/>
  <c r="T719" i="1" s="1"/>
  <c r="G718" i="2"/>
  <c r="F718" i="2"/>
  <c r="B718" i="2"/>
  <c r="H718" i="2" s="1"/>
  <c r="T718" i="1" s="1"/>
  <c r="G717" i="2"/>
  <c r="F717" i="2"/>
  <c r="B717" i="2"/>
  <c r="H717" i="2" s="1"/>
  <c r="T717" i="1" s="1"/>
  <c r="G716" i="2"/>
  <c r="F716" i="2"/>
  <c r="B716" i="2"/>
  <c r="H716" i="2" s="1"/>
  <c r="T716" i="1" s="1"/>
  <c r="G715" i="2"/>
  <c r="F715" i="2"/>
  <c r="B715" i="2"/>
  <c r="H715" i="2" s="1"/>
  <c r="T715" i="1" s="1"/>
  <c r="G714" i="2"/>
  <c r="F714" i="2"/>
  <c r="B714" i="2"/>
  <c r="H714" i="2" s="1"/>
  <c r="T714" i="1" s="1"/>
  <c r="G713" i="2"/>
  <c r="F713" i="2"/>
  <c r="B713" i="2"/>
  <c r="H713" i="2" s="1"/>
  <c r="T713" i="1" s="1"/>
  <c r="G712" i="2"/>
  <c r="F712" i="2"/>
  <c r="B712" i="2"/>
  <c r="H712" i="2" s="1"/>
  <c r="T712" i="1" s="1"/>
  <c r="G711" i="2"/>
  <c r="F711" i="2"/>
  <c r="B711" i="2"/>
  <c r="H711" i="2" s="1"/>
  <c r="T711" i="1" s="1"/>
  <c r="G710" i="2"/>
  <c r="F710" i="2"/>
  <c r="B710" i="2"/>
  <c r="H710" i="2" s="1"/>
  <c r="T710" i="1" s="1"/>
  <c r="G709" i="2"/>
  <c r="F709" i="2"/>
  <c r="B709" i="2"/>
  <c r="H709" i="2" s="1"/>
  <c r="T709" i="1" s="1"/>
  <c r="G708" i="2"/>
  <c r="F708" i="2"/>
  <c r="B708" i="2"/>
  <c r="H708" i="2" s="1"/>
  <c r="T708" i="1" s="1"/>
  <c r="G707" i="2"/>
  <c r="F707" i="2"/>
  <c r="B707" i="2"/>
  <c r="H707" i="2" s="1"/>
  <c r="T707" i="1" s="1"/>
  <c r="G706" i="2"/>
  <c r="F706" i="2"/>
  <c r="B706" i="2"/>
  <c r="H706" i="2" s="1"/>
  <c r="T706" i="1" s="1"/>
  <c r="G705" i="2"/>
  <c r="F705" i="2"/>
  <c r="B705" i="2"/>
  <c r="H705" i="2" s="1"/>
  <c r="T705" i="1" s="1"/>
  <c r="G704" i="2"/>
  <c r="F704" i="2"/>
  <c r="B704" i="2"/>
  <c r="H704" i="2" s="1"/>
  <c r="T704" i="1" s="1"/>
  <c r="G703" i="2"/>
  <c r="F703" i="2"/>
  <c r="B703" i="2"/>
  <c r="H703" i="2" s="1"/>
  <c r="T703" i="1" s="1"/>
  <c r="G702" i="2"/>
  <c r="F702" i="2"/>
  <c r="B702" i="2"/>
  <c r="H702" i="2" s="1"/>
  <c r="T702" i="1" s="1"/>
  <c r="G701" i="2"/>
  <c r="F701" i="2"/>
  <c r="B701" i="2"/>
  <c r="H701" i="2" s="1"/>
  <c r="T701" i="1" s="1"/>
  <c r="G700" i="2"/>
  <c r="F700" i="2"/>
  <c r="B700" i="2"/>
  <c r="H700" i="2" s="1"/>
  <c r="T700" i="1" s="1"/>
  <c r="G699" i="2"/>
  <c r="F699" i="2"/>
  <c r="B699" i="2"/>
  <c r="H699" i="2" s="1"/>
  <c r="T699" i="1" s="1"/>
  <c r="G698" i="2"/>
  <c r="F698" i="2"/>
  <c r="B698" i="2"/>
  <c r="H698" i="2" s="1"/>
  <c r="T698" i="1" s="1"/>
  <c r="G697" i="2"/>
  <c r="F697" i="2"/>
  <c r="B697" i="2"/>
  <c r="H697" i="2" s="1"/>
  <c r="T697" i="1" s="1"/>
  <c r="G696" i="2"/>
  <c r="F696" i="2"/>
  <c r="B696" i="2"/>
  <c r="H696" i="2" s="1"/>
  <c r="T696" i="1" s="1"/>
  <c r="G695" i="2"/>
  <c r="F695" i="2"/>
  <c r="B695" i="2"/>
  <c r="H695" i="2" s="1"/>
  <c r="T695" i="1" s="1"/>
  <c r="G694" i="2"/>
  <c r="F694" i="2"/>
  <c r="B694" i="2"/>
  <c r="H694" i="2" s="1"/>
  <c r="T694" i="1" s="1"/>
  <c r="G693" i="2"/>
  <c r="F693" i="2"/>
  <c r="B693" i="2"/>
  <c r="H693" i="2" s="1"/>
  <c r="T693" i="1" s="1"/>
  <c r="G692" i="2"/>
  <c r="F692" i="2"/>
  <c r="B692" i="2"/>
  <c r="H692" i="2" s="1"/>
  <c r="T692" i="1" s="1"/>
  <c r="G691" i="2"/>
  <c r="F691" i="2"/>
  <c r="B691" i="2"/>
  <c r="H691" i="2" s="1"/>
  <c r="T691" i="1" s="1"/>
  <c r="G690" i="2"/>
  <c r="F690" i="2"/>
  <c r="B690" i="2"/>
  <c r="H690" i="2" s="1"/>
  <c r="T690" i="1" s="1"/>
  <c r="G689" i="2"/>
  <c r="F689" i="2"/>
  <c r="B689" i="2"/>
  <c r="H689" i="2" s="1"/>
  <c r="T689" i="1" s="1"/>
  <c r="G688" i="2"/>
  <c r="F688" i="2"/>
  <c r="B688" i="2"/>
  <c r="H688" i="2" s="1"/>
  <c r="T688" i="1" s="1"/>
  <c r="G687" i="2"/>
  <c r="F687" i="2"/>
  <c r="B687" i="2"/>
  <c r="H687" i="2" s="1"/>
  <c r="T687" i="1" s="1"/>
  <c r="G686" i="2"/>
  <c r="F686" i="2"/>
  <c r="B686" i="2"/>
  <c r="H686" i="2" s="1"/>
  <c r="T686" i="1" s="1"/>
  <c r="G685" i="2"/>
  <c r="F685" i="2"/>
  <c r="B685" i="2"/>
  <c r="H685" i="2" s="1"/>
  <c r="T685" i="1" s="1"/>
  <c r="G684" i="2"/>
  <c r="F684" i="2"/>
  <c r="B684" i="2"/>
  <c r="H684" i="2" s="1"/>
  <c r="T684" i="1" s="1"/>
  <c r="G683" i="2"/>
  <c r="F683" i="2"/>
  <c r="B683" i="2"/>
  <c r="H683" i="2" s="1"/>
  <c r="T683" i="1" s="1"/>
  <c r="G682" i="2"/>
  <c r="F682" i="2"/>
  <c r="B682" i="2"/>
  <c r="H682" i="2" s="1"/>
  <c r="T682" i="1" s="1"/>
  <c r="G681" i="2"/>
  <c r="F681" i="2"/>
  <c r="B681" i="2"/>
  <c r="H681" i="2" s="1"/>
  <c r="T681" i="1" s="1"/>
  <c r="G680" i="2"/>
  <c r="F680" i="2"/>
  <c r="B680" i="2"/>
  <c r="H680" i="2" s="1"/>
  <c r="T680" i="1" s="1"/>
  <c r="G679" i="2"/>
  <c r="F679" i="2"/>
  <c r="B679" i="2"/>
  <c r="H679" i="2" s="1"/>
  <c r="T679" i="1" s="1"/>
  <c r="G678" i="2"/>
  <c r="F678" i="2"/>
  <c r="B678" i="2"/>
  <c r="H678" i="2" s="1"/>
  <c r="T678" i="1" s="1"/>
  <c r="G677" i="2"/>
  <c r="F677" i="2"/>
  <c r="B677" i="2"/>
  <c r="H677" i="2" s="1"/>
  <c r="T677" i="1" s="1"/>
  <c r="G676" i="2"/>
  <c r="F676" i="2"/>
  <c r="B676" i="2"/>
  <c r="H676" i="2" s="1"/>
  <c r="T676" i="1" s="1"/>
  <c r="G675" i="2"/>
  <c r="F675" i="2"/>
  <c r="B675" i="2"/>
  <c r="H675" i="2" s="1"/>
  <c r="T675" i="1" s="1"/>
  <c r="G674" i="2"/>
  <c r="F674" i="2"/>
  <c r="B674" i="2"/>
  <c r="H674" i="2" s="1"/>
  <c r="T674" i="1" s="1"/>
  <c r="G673" i="2"/>
  <c r="F673" i="2"/>
  <c r="B673" i="2"/>
  <c r="H673" i="2" s="1"/>
  <c r="T673" i="1" s="1"/>
  <c r="G672" i="2"/>
  <c r="F672" i="2"/>
  <c r="B672" i="2"/>
  <c r="H672" i="2" s="1"/>
  <c r="T672" i="1" s="1"/>
  <c r="G671" i="2"/>
  <c r="F671" i="2"/>
  <c r="B671" i="2"/>
  <c r="H671" i="2" s="1"/>
  <c r="T671" i="1" s="1"/>
  <c r="G670" i="2"/>
  <c r="F670" i="2"/>
  <c r="B670" i="2"/>
  <c r="H670" i="2" s="1"/>
  <c r="T670" i="1" s="1"/>
  <c r="G669" i="2"/>
  <c r="F669" i="2"/>
  <c r="B669" i="2"/>
  <c r="H669" i="2" s="1"/>
  <c r="T669" i="1" s="1"/>
  <c r="G668" i="2"/>
  <c r="F668" i="2"/>
  <c r="B668" i="2"/>
  <c r="H668" i="2" s="1"/>
  <c r="T668" i="1" s="1"/>
  <c r="G667" i="2"/>
  <c r="F667" i="2"/>
  <c r="B667" i="2"/>
  <c r="H667" i="2" s="1"/>
  <c r="T667" i="1" s="1"/>
  <c r="G666" i="2"/>
  <c r="F666" i="2"/>
  <c r="B666" i="2"/>
  <c r="H666" i="2" s="1"/>
  <c r="T666" i="1" s="1"/>
  <c r="G665" i="2"/>
  <c r="F665" i="2"/>
  <c r="B665" i="2"/>
  <c r="H665" i="2" s="1"/>
  <c r="T665" i="1" s="1"/>
  <c r="G664" i="2"/>
  <c r="F664" i="2"/>
  <c r="B664" i="2"/>
  <c r="H664" i="2" s="1"/>
  <c r="T664" i="1" s="1"/>
  <c r="G663" i="2"/>
  <c r="F663" i="2"/>
  <c r="B663" i="2"/>
  <c r="H663" i="2" s="1"/>
  <c r="T663" i="1" s="1"/>
  <c r="G662" i="2"/>
  <c r="F662" i="2"/>
  <c r="B662" i="2"/>
  <c r="H662" i="2" s="1"/>
  <c r="T662" i="1" s="1"/>
  <c r="G661" i="2"/>
  <c r="F661" i="2"/>
  <c r="B661" i="2"/>
  <c r="H661" i="2" s="1"/>
  <c r="T661" i="1" s="1"/>
  <c r="G660" i="2"/>
  <c r="F660" i="2"/>
  <c r="B660" i="2"/>
  <c r="H660" i="2" s="1"/>
  <c r="T660" i="1" s="1"/>
  <c r="G659" i="2"/>
  <c r="F659" i="2"/>
  <c r="B659" i="2"/>
  <c r="H659" i="2" s="1"/>
  <c r="T659" i="1" s="1"/>
  <c r="G658" i="2"/>
  <c r="F658" i="2"/>
  <c r="B658" i="2"/>
  <c r="H658" i="2" s="1"/>
  <c r="T658" i="1" s="1"/>
  <c r="G657" i="2"/>
  <c r="F657" i="2"/>
  <c r="B657" i="2"/>
  <c r="H657" i="2" s="1"/>
  <c r="T657" i="1" s="1"/>
  <c r="G656" i="2"/>
  <c r="F656" i="2"/>
  <c r="B656" i="2"/>
  <c r="H656" i="2" s="1"/>
  <c r="T656" i="1" s="1"/>
  <c r="G655" i="2"/>
  <c r="F655" i="2"/>
  <c r="B655" i="2"/>
  <c r="H655" i="2" s="1"/>
  <c r="T655" i="1" s="1"/>
  <c r="G654" i="2"/>
  <c r="F654" i="2"/>
  <c r="B654" i="2"/>
  <c r="H654" i="2" s="1"/>
  <c r="T654" i="1" s="1"/>
  <c r="G653" i="2"/>
  <c r="F653" i="2"/>
  <c r="B653" i="2"/>
  <c r="H653" i="2" s="1"/>
  <c r="T653" i="1" s="1"/>
  <c r="G652" i="2"/>
  <c r="F652" i="2"/>
  <c r="B652" i="2"/>
  <c r="H652" i="2" s="1"/>
  <c r="T652" i="1" s="1"/>
  <c r="G651" i="2"/>
  <c r="F651" i="2"/>
  <c r="B651" i="2"/>
  <c r="H651" i="2" s="1"/>
  <c r="T651" i="1" s="1"/>
  <c r="G650" i="2"/>
  <c r="F650" i="2"/>
  <c r="B650" i="2"/>
  <c r="H650" i="2" s="1"/>
  <c r="T650" i="1" s="1"/>
  <c r="G649" i="2"/>
  <c r="F649" i="2"/>
  <c r="B649" i="2"/>
  <c r="H649" i="2" s="1"/>
  <c r="T649" i="1" s="1"/>
  <c r="G648" i="2"/>
  <c r="F648" i="2"/>
  <c r="B648" i="2"/>
  <c r="H648" i="2" s="1"/>
  <c r="T648" i="1" s="1"/>
  <c r="G647" i="2"/>
  <c r="F647" i="2"/>
  <c r="B647" i="2"/>
  <c r="H647" i="2" s="1"/>
  <c r="T647" i="1" s="1"/>
  <c r="G646" i="2"/>
  <c r="F646" i="2"/>
  <c r="B646" i="2"/>
  <c r="H646" i="2" s="1"/>
  <c r="T646" i="1" s="1"/>
  <c r="G645" i="2"/>
  <c r="F645" i="2"/>
  <c r="B645" i="2"/>
  <c r="H645" i="2" s="1"/>
  <c r="T645" i="1" s="1"/>
  <c r="G644" i="2"/>
  <c r="F644" i="2"/>
  <c r="B644" i="2"/>
  <c r="H644" i="2" s="1"/>
  <c r="T644" i="1" s="1"/>
  <c r="G643" i="2"/>
  <c r="F643" i="2"/>
  <c r="B643" i="2"/>
  <c r="H643" i="2" s="1"/>
  <c r="T643" i="1" s="1"/>
  <c r="G642" i="2"/>
  <c r="F642" i="2"/>
  <c r="B642" i="2"/>
  <c r="H642" i="2" s="1"/>
  <c r="T642" i="1" s="1"/>
  <c r="G641" i="2"/>
  <c r="F641" i="2"/>
  <c r="B641" i="2"/>
  <c r="H641" i="2" s="1"/>
  <c r="T641" i="1" s="1"/>
  <c r="G640" i="2"/>
  <c r="F640" i="2"/>
  <c r="B640" i="2"/>
  <c r="H640" i="2" s="1"/>
  <c r="T640" i="1" s="1"/>
  <c r="G639" i="2"/>
  <c r="F639" i="2"/>
  <c r="B639" i="2"/>
  <c r="H639" i="2" s="1"/>
  <c r="T639" i="1" s="1"/>
  <c r="G638" i="2"/>
  <c r="F638" i="2"/>
  <c r="B638" i="2"/>
  <c r="H638" i="2" s="1"/>
  <c r="T638" i="1" s="1"/>
  <c r="G637" i="2"/>
  <c r="F637" i="2"/>
  <c r="B637" i="2"/>
  <c r="H637" i="2" s="1"/>
  <c r="T637" i="1" s="1"/>
  <c r="G636" i="2"/>
  <c r="F636" i="2"/>
  <c r="B636" i="2"/>
  <c r="H636" i="2" s="1"/>
  <c r="T636" i="1" s="1"/>
  <c r="G635" i="2"/>
  <c r="F635" i="2"/>
  <c r="B635" i="2"/>
  <c r="H635" i="2" s="1"/>
  <c r="T635" i="1" s="1"/>
  <c r="G634" i="2"/>
  <c r="F634" i="2"/>
  <c r="B634" i="2"/>
  <c r="H634" i="2" s="1"/>
  <c r="T634" i="1" s="1"/>
  <c r="G633" i="2"/>
  <c r="F633" i="2"/>
  <c r="B633" i="2"/>
  <c r="H633" i="2" s="1"/>
  <c r="T633" i="1" s="1"/>
  <c r="G632" i="2"/>
  <c r="F632" i="2"/>
  <c r="B632" i="2"/>
  <c r="H632" i="2" s="1"/>
  <c r="T632" i="1" s="1"/>
  <c r="G631" i="2"/>
  <c r="F631" i="2"/>
  <c r="B631" i="2"/>
  <c r="H631" i="2" s="1"/>
  <c r="T631" i="1" s="1"/>
  <c r="G630" i="2"/>
  <c r="F630" i="2"/>
  <c r="B630" i="2"/>
  <c r="H630" i="2" s="1"/>
  <c r="T630" i="1" s="1"/>
  <c r="G629" i="2"/>
  <c r="F629" i="2"/>
  <c r="B629" i="2"/>
  <c r="H629" i="2" s="1"/>
  <c r="T629" i="1" s="1"/>
  <c r="G628" i="2"/>
  <c r="F628" i="2"/>
  <c r="B628" i="2"/>
  <c r="H628" i="2" s="1"/>
  <c r="T628" i="1" s="1"/>
  <c r="G627" i="2"/>
  <c r="F627" i="2"/>
  <c r="B627" i="2"/>
  <c r="H627" i="2" s="1"/>
  <c r="T627" i="1" s="1"/>
  <c r="G626" i="2"/>
  <c r="F626" i="2"/>
  <c r="B626" i="2"/>
  <c r="H626" i="2" s="1"/>
  <c r="T626" i="1" s="1"/>
  <c r="G625" i="2"/>
  <c r="F625" i="2"/>
  <c r="B625" i="2"/>
  <c r="H625" i="2" s="1"/>
  <c r="T625" i="1" s="1"/>
  <c r="G624" i="2"/>
  <c r="F624" i="2"/>
  <c r="B624" i="2"/>
  <c r="H624" i="2" s="1"/>
  <c r="T624" i="1" s="1"/>
  <c r="G623" i="2"/>
  <c r="F623" i="2"/>
  <c r="B623" i="2"/>
  <c r="H623" i="2" s="1"/>
  <c r="T623" i="1" s="1"/>
  <c r="G622" i="2"/>
  <c r="F622" i="2"/>
  <c r="B622" i="2"/>
  <c r="H622" i="2" s="1"/>
  <c r="T622" i="1" s="1"/>
  <c r="G621" i="2"/>
  <c r="F621" i="2"/>
  <c r="B621" i="2"/>
  <c r="H621" i="2" s="1"/>
  <c r="T621" i="1" s="1"/>
  <c r="G620" i="2"/>
  <c r="F620" i="2"/>
  <c r="B620" i="2"/>
  <c r="H620" i="2" s="1"/>
  <c r="T620" i="1" s="1"/>
  <c r="G619" i="2"/>
  <c r="F619" i="2"/>
  <c r="B619" i="2"/>
  <c r="H619" i="2" s="1"/>
  <c r="T619" i="1" s="1"/>
  <c r="G618" i="2"/>
  <c r="F618" i="2"/>
  <c r="B618" i="2"/>
  <c r="H618" i="2" s="1"/>
  <c r="T618" i="1" s="1"/>
  <c r="G617" i="2"/>
  <c r="F617" i="2"/>
  <c r="B617" i="2"/>
  <c r="H617" i="2" s="1"/>
  <c r="T617" i="1" s="1"/>
  <c r="G616" i="2"/>
  <c r="F616" i="2"/>
  <c r="B616" i="2"/>
  <c r="H616" i="2" s="1"/>
  <c r="T616" i="1" s="1"/>
  <c r="G615" i="2"/>
  <c r="F615" i="2"/>
  <c r="B615" i="2"/>
  <c r="H615" i="2" s="1"/>
  <c r="T615" i="1" s="1"/>
  <c r="G614" i="2"/>
  <c r="F614" i="2"/>
  <c r="B614" i="2"/>
  <c r="H614" i="2" s="1"/>
  <c r="T614" i="1" s="1"/>
  <c r="G613" i="2"/>
  <c r="F613" i="2"/>
  <c r="B613" i="2"/>
  <c r="H613" i="2" s="1"/>
  <c r="T613" i="1" s="1"/>
  <c r="G612" i="2"/>
  <c r="F612" i="2"/>
  <c r="B612" i="2"/>
  <c r="H612" i="2" s="1"/>
  <c r="T612" i="1" s="1"/>
  <c r="G611" i="2"/>
  <c r="F611" i="2"/>
  <c r="B611" i="2"/>
  <c r="H611" i="2" s="1"/>
  <c r="T611" i="1" s="1"/>
  <c r="G610" i="2"/>
  <c r="F610" i="2"/>
  <c r="B610" i="2"/>
  <c r="H610" i="2" s="1"/>
  <c r="T610" i="1" s="1"/>
  <c r="G609" i="2"/>
  <c r="F609" i="2"/>
  <c r="B609" i="2"/>
  <c r="H609" i="2" s="1"/>
  <c r="T609" i="1" s="1"/>
  <c r="G608" i="2"/>
  <c r="F608" i="2"/>
  <c r="B608" i="2"/>
  <c r="H608" i="2" s="1"/>
  <c r="T608" i="1" s="1"/>
  <c r="G607" i="2"/>
  <c r="F607" i="2"/>
  <c r="B607" i="2"/>
  <c r="H607" i="2" s="1"/>
  <c r="T607" i="1" s="1"/>
  <c r="G606" i="2"/>
  <c r="F606" i="2"/>
  <c r="B606" i="2"/>
  <c r="H606" i="2" s="1"/>
  <c r="T606" i="1" s="1"/>
  <c r="G605" i="2"/>
  <c r="F605" i="2"/>
  <c r="B605" i="2"/>
  <c r="H605" i="2" s="1"/>
  <c r="T605" i="1" s="1"/>
  <c r="G604" i="2"/>
  <c r="F604" i="2"/>
  <c r="B604" i="2"/>
  <c r="H604" i="2" s="1"/>
  <c r="T604" i="1" s="1"/>
  <c r="G603" i="2"/>
  <c r="F603" i="2"/>
  <c r="B603" i="2"/>
  <c r="H603" i="2" s="1"/>
  <c r="T603" i="1" s="1"/>
  <c r="G602" i="2"/>
  <c r="F602" i="2"/>
  <c r="B602" i="2"/>
  <c r="H602" i="2" s="1"/>
  <c r="T602" i="1" s="1"/>
  <c r="G601" i="2"/>
  <c r="F601" i="2"/>
  <c r="B601" i="2"/>
  <c r="H601" i="2" s="1"/>
  <c r="T601" i="1" s="1"/>
  <c r="G600" i="2"/>
  <c r="F600" i="2"/>
  <c r="B600" i="2"/>
  <c r="H600" i="2" s="1"/>
  <c r="T600" i="1" s="1"/>
  <c r="G599" i="2"/>
  <c r="F599" i="2"/>
  <c r="B599" i="2"/>
  <c r="H599" i="2" s="1"/>
  <c r="T599" i="1" s="1"/>
  <c r="G598" i="2"/>
  <c r="F598" i="2"/>
  <c r="B598" i="2"/>
  <c r="H598" i="2" s="1"/>
  <c r="T598" i="1" s="1"/>
  <c r="G597" i="2"/>
  <c r="F597" i="2"/>
  <c r="B597" i="2"/>
  <c r="H597" i="2" s="1"/>
  <c r="T597" i="1" s="1"/>
  <c r="G596" i="2"/>
  <c r="F596" i="2"/>
  <c r="B596" i="2"/>
  <c r="H596" i="2" s="1"/>
  <c r="T596" i="1" s="1"/>
  <c r="G595" i="2"/>
  <c r="F595" i="2"/>
  <c r="B595" i="2"/>
  <c r="H595" i="2" s="1"/>
  <c r="T595" i="1" s="1"/>
  <c r="G594" i="2"/>
  <c r="F594" i="2"/>
  <c r="B594" i="2"/>
  <c r="H594" i="2" s="1"/>
  <c r="T594" i="1" s="1"/>
  <c r="G593" i="2"/>
  <c r="F593" i="2"/>
  <c r="B593" i="2"/>
  <c r="H593" i="2" s="1"/>
  <c r="T593" i="1" s="1"/>
  <c r="G592" i="2"/>
  <c r="F592" i="2"/>
  <c r="B592" i="2"/>
  <c r="H592" i="2" s="1"/>
  <c r="T592" i="1" s="1"/>
  <c r="G591" i="2"/>
  <c r="F591" i="2"/>
  <c r="B591" i="2"/>
  <c r="H591" i="2" s="1"/>
  <c r="T591" i="1" s="1"/>
  <c r="G590" i="2"/>
  <c r="F590" i="2"/>
  <c r="B590" i="2"/>
  <c r="H590" i="2" s="1"/>
  <c r="T590" i="1" s="1"/>
  <c r="G589" i="2"/>
  <c r="F589" i="2"/>
  <c r="B589" i="2"/>
  <c r="H589" i="2" s="1"/>
  <c r="T589" i="1" s="1"/>
  <c r="G588" i="2"/>
  <c r="F588" i="2"/>
  <c r="B588" i="2"/>
  <c r="H588" i="2" s="1"/>
  <c r="T588" i="1" s="1"/>
  <c r="G587" i="2"/>
  <c r="F587" i="2"/>
  <c r="B587" i="2"/>
  <c r="H587" i="2" s="1"/>
  <c r="T587" i="1" s="1"/>
  <c r="G586" i="2"/>
  <c r="F586" i="2"/>
  <c r="B586" i="2"/>
  <c r="H586" i="2" s="1"/>
  <c r="T586" i="1" s="1"/>
  <c r="G585" i="2"/>
  <c r="F585" i="2"/>
  <c r="B585" i="2"/>
  <c r="H585" i="2" s="1"/>
  <c r="T585" i="1" s="1"/>
  <c r="G584" i="2"/>
  <c r="F584" i="2"/>
  <c r="B584" i="2"/>
  <c r="H584" i="2" s="1"/>
  <c r="T584" i="1" s="1"/>
  <c r="G583" i="2"/>
  <c r="F583" i="2"/>
  <c r="B583" i="2"/>
  <c r="H583" i="2" s="1"/>
  <c r="T583" i="1" s="1"/>
  <c r="G582" i="2"/>
  <c r="F582" i="2"/>
  <c r="B582" i="2"/>
  <c r="H582" i="2" s="1"/>
  <c r="T582" i="1" s="1"/>
  <c r="G581" i="2"/>
  <c r="F581" i="2"/>
  <c r="B581" i="2"/>
  <c r="H581" i="2" s="1"/>
  <c r="T581" i="1" s="1"/>
  <c r="G580" i="2"/>
  <c r="F580" i="2"/>
  <c r="B580" i="2"/>
  <c r="H580" i="2" s="1"/>
  <c r="T580" i="1" s="1"/>
  <c r="G579" i="2"/>
  <c r="F579" i="2"/>
  <c r="B579" i="2"/>
  <c r="H579" i="2" s="1"/>
  <c r="T579" i="1" s="1"/>
  <c r="G578" i="2"/>
  <c r="F578" i="2"/>
  <c r="B578" i="2"/>
  <c r="H578" i="2" s="1"/>
  <c r="T578" i="1" s="1"/>
  <c r="G577" i="2"/>
  <c r="F577" i="2"/>
  <c r="B577" i="2"/>
  <c r="H577" i="2" s="1"/>
  <c r="T577" i="1" s="1"/>
  <c r="G576" i="2"/>
  <c r="F576" i="2"/>
  <c r="B576" i="2"/>
  <c r="H576" i="2" s="1"/>
  <c r="T576" i="1" s="1"/>
  <c r="G575" i="2"/>
  <c r="F575" i="2"/>
  <c r="B575" i="2"/>
  <c r="H575" i="2" s="1"/>
  <c r="T575" i="1" s="1"/>
  <c r="G574" i="2"/>
  <c r="F574" i="2"/>
  <c r="B574" i="2"/>
  <c r="H574" i="2" s="1"/>
  <c r="T574" i="1" s="1"/>
  <c r="G573" i="2"/>
  <c r="F573" i="2"/>
  <c r="B573" i="2"/>
  <c r="H573" i="2" s="1"/>
  <c r="T573" i="1" s="1"/>
  <c r="G572" i="2"/>
  <c r="F572" i="2"/>
  <c r="B572" i="2"/>
  <c r="H572" i="2" s="1"/>
  <c r="T572" i="1" s="1"/>
  <c r="G571" i="2"/>
  <c r="F571" i="2"/>
  <c r="B571" i="2"/>
  <c r="H571" i="2" s="1"/>
  <c r="T571" i="1" s="1"/>
  <c r="G570" i="2"/>
  <c r="F570" i="2"/>
  <c r="B570" i="2"/>
  <c r="H570" i="2" s="1"/>
  <c r="T570" i="1" s="1"/>
  <c r="G569" i="2"/>
  <c r="F569" i="2"/>
  <c r="B569" i="2"/>
  <c r="H569" i="2" s="1"/>
  <c r="T569" i="1" s="1"/>
  <c r="G568" i="2"/>
  <c r="F568" i="2"/>
  <c r="B568" i="2"/>
  <c r="H568" i="2" s="1"/>
  <c r="T568" i="1" s="1"/>
  <c r="G567" i="2"/>
  <c r="F567" i="2"/>
  <c r="B567" i="2"/>
  <c r="H567" i="2" s="1"/>
  <c r="T567" i="1" s="1"/>
  <c r="G566" i="2"/>
  <c r="F566" i="2"/>
  <c r="B566" i="2"/>
  <c r="H566" i="2" s="1"/>
  <c r="T566" i="1" s="1"/>
  <c r="G565" i="2"/>
  <c r="F565" i="2"/>
  <c r="B565" i="2"/>
  <c r="H565" i="2" s="1"/>
  <c r="T565" i="1" s="1"/>
  <c r="G564" i="2"/>
  <c r="F564" i="2"/>
  <c r="B564" i="2"/>
  <c r="H564" i="2" s="1"/>
  <c r="T564" i="1" s="1"/>
  <c r="G563" i="2"/>
  <c r="F563" i="2"/>
  <c r="B563" i="2"/>
  <c r="H563" i="2" s="1"/>
  <c r="T563" i="1" s="1"/>
  <c r="G562" i="2"/>
  <c r="F562" i="2"/>
  <c r="B562" i="2"/>
  <c r="H562" i="2" s="1"/>
  <c r="T562" i="1" s="1"/>
  <c r="G561" i="2"/>
  <c r="F561" i="2"/>
  <c r="B561" i="2"/>
  <c r="H561" i="2" s="1"/>
  <c r="T561" i="1" s="1"/>
  <c r="G560" i="2"/>
  <c r="F560" i="2"/>
  <c r="B560" i="2"/>
  <c r="H560" i="2" s="1"/>
  <c r="T560" i="1" s="1"/>
  <c r="G559" i="2"/>
  <c r="F559" i="2"/>
  <c r="B559" i="2"/>
  <c r="H559" i="2" s="1"/>
  <c r="T559" i="1" s="1"/>
  <c r="G558" i="2"/>
  <c r="F558" i="2"/>
  <c r="B558" i="2"/>
  <c r="H558" i="2" s="1"/>
  <c r="T558" i="1" s="1"/>
  <c r="G557" i="2"/>
  <c r="F557" i="2"/>
  <c r="B557" i="2"/>
  <c r="H557" i="2" s="1"/>
  <c r="T557" i="1" s="1"/>
  <c r="G556" i="2"/>
  <c r="F556" i="2"/>
  <c r="B556" i="2"/>
  <c r="H556" i="2" s="1"/>
  <c r="T556" i="1" s="1"/>
  <c r="G555" i="2"/>
  <c r="F555" i="2"/>
  <c r="B555" i="2"/>
  <c r="H555" i="2" s="1"/>
  <c r="T555" i="1" s="1"/>
  <c r="G554" i="2"/>
  <c r="F554" i="2"/>
  <c r="B554" i="2"/>
  <c r="H554" i="2" s="1"/>
  <c r="T554" i="1" s="1"/>
  <c r="G553" i="2"/>
  <c r="F553" i="2"/>
  <c r="B553" i="2"/>
  <c r="H553" i="2" s="1"/>
  <c r="T553" i="1" s="1"/>
  <c r="G552" i="2"/>
  <c r="F552" i="2"/>
  <c r="B552" i="2"/>
  <c r="H552" i="2" s="1"/>
  <c r="T552" i="1" s="1"/>
  <c r="G551" i="2"/>
  <c r="F551" i="2"/>
  <c r="B551" i="2"/>
  <c r="H551" i="2" s="1"/>
  <c r="T551" i="1" s="1"/>
  <c r="G550" i="2"/>
  <c r="F550" i="2"/>
  <c r="B550" i="2"/>
  <c r="H550" i="2" s="1"/>
  <c r="T550" i="1" s="1"/>
  <c r="G549" i="2"/>
  <c r="F549" i="2"/>
  <c r="B549" i="2"/>
  <c r="H549" i="2" s="1"/>
  <c r="T549" i="1" s="1"/>
  <c r="G548" i="2"/>
  <c r="F548" i="2"/>
  <c r="B548" i="2"/>
  <c r="H548" i="2" s="1"/>
  <c r="T548" i="1" s="1"/>
  <c r="G547" i="2"/>
  <c r="F547" i="2"/>
  <c r="B547" i="2"/>
  <c r="H547" i="2" s="1"/>
  <c r="T547" i="1" s="1"/>
  <c r="G546" i="2"/>
  <c r="F546" i="2"/>
  <c r="B546" i="2"/>
  <c r="H546" i="2" s="1"/>
  <c r="T546" i="1" s="1"/>
  <c r="G545" i="2"/>
  <c r="F545" i="2"/>
  <c r="B545" i="2"/>
  <c r="H545" i="2" s="1"/>
  <c r="T545" i="1" s="1"/>
  <c r="G544" i="2"/>
  <c r="F544" i="2"/>
  <c r="B544" i="2"/>
  <c r="H544" i="2" s="1"/>
  <c r="T544" i="1" s="1"/>
  <c r="G543" i="2"/>
  <c r="F543" i="2"/>
  <c r="B543" i="2"/>
  <c r="H543" i="2" s="1"/>
  <c r="T543" i="1" s="1"/>
  <c r="G542" i="2"/>
  <c r="F542" i="2"/>
  <c r="B542" i="2"/>
  <c r="H542" i="2" s="1"/>
  <c r="T542" i="1" s="1"/>
  <c r="G541" i="2"/>
  <c r="F541" i="2"/>
  <c r="B541" i="2"/>
  <c r="H541" i="2" s="1"/>
  <c r="T541" i="1" s="1"/>
  <c r="G540" i="2"/>
  <c r="F540" i="2"/>
  <c r="B540" i="2"/>
  <c r="H540" i="2" s="1"/>
  <c r="T540" i="1" s="1"/>
  <c r="G539" i="2"/>
  <c r="F539" i="2"/>
  <c r="B539" i="2"/>
  <c r="H539" i="2" s="1"/>
  <c r="T539" i="1" s="1"/>
  <c r="G538" i="2"/>
  <c r="F538" i="2"/>
  <c r="B538" i="2"/>
  <c r="H538" i="2" s="1"/>
  <c r="T538" i="1" s="1"/>
  <c r="G537" i="2"/>
  <c r="F537" i="2"/>
  <c r="B537" i="2"/>
  <c r="H537" i="2" s="1"/>
  <c r="T537" i="1" s="1"/>
  <c r="G536" i="2"/>
  <c r="F536" i="2"/>
  <c r="B536" i="2"/>
  <c r="H536" i="2" s="1"/>
  <c r="T536" i="1" s="1"/>
  <c r="G535" i="2"/>
  <c r="F535" i="2"/>
  <c r="B535" i="2"/>
  <c r="H535" i="2" s="1"/>
  <c r="T535" i="1" s="1"/>
  <c r="G534" i="2"/>
  <c r="F534" i="2"/>
  <c r="B534" i="2"/>
  <c r="H534" i="2" s="1"/>
  <c r="T534" i="1" s="1"/>
  <c r="G533" i="2"/>
  <c r="F533" i="2"/>
  <c r="B533" i="2"/>
  <c r="H533" i="2" s="1"/>
  <c r="T533" i="1" s="1"/>
  <c r="G532" i="2"/>
  <c r="F532" i="2"/>
  <c r="B532" i="2"/>
  <c r="H532" i="2" s="1"/>
  <c r="T532" i="1" s="1"/>
  <c r="G531" i="2"/>
  <c r="F531" i="2"/>
  <c r="B531" i="2"/>
  <c r="H531" i="2" s="1"/>
  <c r="T531" i="1" s="1"/>
  <c r="G530" i="2"/>
  <c r="F530" i="2"/>
  <c r="B530" i="2"/>
  <c r="H530" i="2" s="1"/>
  <c r="T530" i="1" s="1"/>
  <c r="G529" i="2"/>
  <c r="F529" i="2"/>
  <c r="B529" i="2"/>
  <c r="H529" i="2" s="1"/>
  <c r="T529" i="1" s="1"/>
  <c r="G528" i="2"/>
  <c r="F528" i="2"/>
  <c r="B528" i="2"/>
  <c r="H528" i="2" s="1"/>
  <c r="T528" i="1" s="1"/>
  <c r="G527" i="2"/>
  <c r="F527" i="2"/>
  <c r="B527" i="2"/>
  <c r="H527" i="2" s="1"/>
  <c r="T527" i="1" s="1"/>
  <c r="G526" i="2"/>
  <c r="F526" i="2"/>
  <c r="B526" i="2"/>
  <c r="H526" i="2" s="1"/>
  <c r="T526" i="1" s="1"/>
  <c r="G525" i="2"/>
  <c r="F525" i="2"/>
  <c r="B525" i="2"/>
  <c r="H525" i="2" s="1"/>
  <c r="T525" i="1" s="1"/>
  <c r="G524" i="2"/>
  <c r="F524" i="2"/>
  <c r="B524" i="2"/>
  <c r="H524" i="2" s="1"/>
  <c r="T524" i="1" s="1"/>
  <c r="G523" i="2"/>
  <c r="F523" i="2"/>
  <c r="B523" i="2"/>
  <c r="H523" i="2" s="1"/>
  <c r="T523" i="1" s="1"/>
  <c r="G522" i="2"/>
  <c r="F522" i="2"/>
  <c r="B522" i="2"/>
  <c r="H522" i="2" s="1"/>
  <c r="T522" i="1" s="1"/>
  <c r="G521" i="2"/>
  <c r="F521" i="2"/>
  <c r="B521" i="2"/>
  <c r="H521" i="2" s="1"/>
  <c r="T521" i="1" s="1"/>
  <c r="G520" i="2"/>
  <c r="F520" i="2"/>
  <c r="B520" i="2"/>
  <c r="H520" i="2" s="1"/>
  <c r="T520" i="1" s="1"/>
  <c r="G519" i="2"/>
  <c r="F519" i="2"/>
  <c r="B519" i="2"/>
  <c r="H519" i="2" s="1"/>
  <c r="T519" i="1" s="1"/>
  <c r="G518" i="2"/>
  <c r="F518" i="2"/>
  <c r="B518" i="2"/>
  <c r="H518" i="2" s="1"/>
  <c r="T518" i="1" s="1"/>
  <c r="G517" i="2"/>
  <c r="F517" i="2"/>
  <c r="B517" i="2"/>
  <c r="H517" i="2" s="1"/>
  <c r="T517" i="1" s="1"/>
  <c r="G516" i="2"/>
  <c r="F516" i="2"/>
  <c r="B516" i="2"/>
  <c r="H516" i="2" s="1"/>
  <c r="T516" i="1" s="1"/>
  <c r="G515" i="2"/>
  <c r="F515" i="2"/>
  <c r="B515" i="2"/>
  <c r="H515" i="2" s="1"/>
  <c r="T515" i="1" s="1"/>
  <c r="G514" i="2"/>
  <c r="F514" i="2"/>
  <c r="B514" i="2"/>
  <c r="H514" i="2" s="1"/>
  <c r="T514" i="1" s="1"/>
  <c r="G513" i="2"/>
  <c r="F513" i="2"/>
  <c r="B513" i="2"/>
  <c r="H513" i="2" s="1"/>
  <c r="T513" i="1" s="1"/>
  <c r="G512" i="2"/>
  <c r="F512" i="2"/>
  <c r="B512" i="2"/>
  <c r="H512" i="2" s="1"/>
  <c r="T512" i="1" s="1"/>
  <c r="G511" i="2"/>
  <c r="F511" i="2"/>
  <c r="B511" i="2"/>
  <c r="H511" i="2" s="1"/>
  <c r="T511" i="1" s="1"/>
  <c r="G510" i="2"/>
  <c r="F510" i="2"/>
  <c r="B510" i="2"/>
  <c r="H510" i="2" s="1"/>
  <c r="T510" i="1" s="1"/>
  <c r="G509" i="2"/>
  <c r="F509" i="2"/>
  <c r="B509" i="2"/>
  <c r="H509" i="2" s="1"/>
  <c r="T509" i="1" s="1"/>
  <c r="G508" i="2"/>
  <c r="F508" i="2"/>
  <c r="B508" i="2"/>
  <c r="H508" i="2" s="1"/>
  <c r="T508" i="1" s="1"/>
  <c r="G507" i="2"/>
  <c r="F507" i="2"/>
  <c r="B507" i="2"/>
  <c r="H507" i="2" s="1"/>
  <c r="T507" i="1" s="1"/>
  <c r="G506" i="2"/>
  <c r="F506" i="2"/>
  <c r="B506" i="2"/>
  <c r="H506" i="2" s="1"/>
  <c r="T506" i="1" s="1"/>
  <c r="G505" i="2"/>
  <c r="F505" i="2"/>
  <c r="B505" i="2"/>
  <c r="H505" i="2" s="1"/>
  <c r="T505" i="1" s="1"/>
  <c r="G504" i="2"/>
  <c r="F504" i="2"/>
  <c r="B504" i="2"/>
  <c r="H504" i="2" s="1"/>
  <c r="T504" i="1" s="1"/>
  <c r="G503" i="2"/>
  <c r="F503" i="2"/>
  <c r="B503" i="2"/>
  <c r="H503" i="2" s="1"/>
  <c r="T503" i="1" s="1"/>
  <c r="G502" i="2"/>
  <c r="F502" i="2"/>
  <c r="B502" i="2"/>
  <c r="H502" i="2" s="1"/>
  <c r="T502" i="1" s="1"/>
  <c r="G501" i="2"/>
  <c r="F501" i="2"/>
  <c r="B501" i="2"/>
  <c r="H501" i="2" s="1"/>
  <c r="T501" i="1" s="1"/>
  <c r="G500" i="2"/>
  <c r="F500" i="2"/>
  <c r="B500" i="2"/>
  <c r="H500" i="2" s="1"/>
  <c r="T500" i="1" s="1"/>
  <c r="G499" i="2"/>
  <c r="F499" i="2"/>
  <c r="B499" i="2"/>
  <c r="H499" i="2" s="1"/>
  <c r="T499" i="1" s="1"/>
  <c r="G498" i="2"/>
  <c r="F498" i="2"/>
  <c r="B498" i="2"/>
  <c r="H498" i="2" s="1"/>
  <c r="T498" i="1" s="1"/>
  <c r="G497" i="2"/>
  <c r="F497" i="2"/>
  <c r="B497" i="2"/>
  <c r="H497" i="2" s="1"/>
  <c r="T497" i="1" s="1"/>
  <c r="G496" i="2"/>
  <c r="F496" i="2"/>
  <c r="B496" i="2"/>
  <c r="H496" i="2" s="1"/>
  <c r="T496" i="1" s="1"/>
  <c r="G495" i="2"/>
  <c r="F495" i="2"/>
  <c r="B495" i="2"/>
  <c r="H495" i="2" s="1"/>
  <c r="T495" i="1" s="1"/>
  <c r="G494" i="2"/>
  <c r="F494" i="2"/>
  <c r="B494" i="2"/>
  <c r="H494" i="2" s="1"/>
  <c r="T494" i="1" s="1"/>
  <c r="G493" i="2"/>
  <c r="F493" i="2"/>
  <c r="B493" i="2"/>
  <c r="H493" i="2" s="1"/>
  <c r="T493" i="1" s="1"/>
  <c r="G492" i="2"/>
  <c r="F492" i="2"/>
  <c r="B492" i="2"/>
  <c r="H492" i="2" s="1"/>
  <c r="T492" i="1" s="1"/>
  <c r="G491" i="2"/>
  <c r="F491" i="2"/>
  <c r="B491" i="2"/>
  <c r="H491" i="2" s="1"/>
  <c r="T491" i="1" s="1"/>
  <c r="G490" i="2"/>
  <c r="F490" i="2"/>
  <c r="B490" i="2"/>
  <c r="H490" i="2" s="1"/>
  <c r="T490" i="1" s="1"/>
  <c r="G489" i="2"/>
  <c r="F489" i="2"/>
  <c r="B489" i="2"/>
  <c r="H489" i="2" s="1"/>
  <c r="T489" i="1" s="1"/>
  <c r="G488" i="2"/>
  <c r="F488" i="2"/>
  <c r="B488" i="2"/>
  <c r="H488" i="2" s="1"/>
  <c r="T488" i="1" s="1"/>
  <c r="G487" i="2"/>
  <c r="F487" i="2"/>
  <c r="B487" i="2"/>
  <c r="H487" i="2" s="1"/>
  <c r="T487" i="1" s="1"/>
  <c r="G486" i="2"/>
  <c r="F486" i="2"/>
  <c r="B486" i="2"/>
  <c r="H486" i="2" s="1"/>
  <c r="T486" i="1" s="1"/>
  <c r="G485" i="2"/>
  <c r="F485" i="2"/>
  <c r="B485" i="2"/>
  <c r="H485" i="2" s="1"/>
  <c r="T485" i="1" s="1"/>
  <c r="G484" i="2"/>
  <c r="F484" i="2"/>
  <c r="B484" i="2"/>
  <c r="H484" i="2" s="1"/>
  <c r="T484" i="1" s="1"/>
  <c r="G483" i="2"/>
  <c r="F483" i="2"/>
  <c r="B483" i="2"/>
  <c r="H483" i="2" s="1"/>
  <c r="T483" i="1" s="1"/>
  <c r="G482" i="2"/>
  <c r="F482" i="2"/>
  <c r="B482" i="2"/>
  <c r="H482" i="2" s="1"/>
  <c r="T482" i="1" s="1"/>
  <c r="G481" i="2"/>
  <c r="F481" i="2"/>
  <c r="B481" i="2"/>
  <c r="H481" i="2" s="1"/>
  <c r="T481" i="1" s="1"/>
  <c r="G480" i="2"/>
  <c r="F480" i="2"/>
  <c r="B480" i="2"/>
  <c r="H480" i="2" s="1"/>
  <c r="T480" i="1" s="1"/>
  <c r="G479" i="2"/>
  <c r="F479" i="2"/>
  <c r="B479" i="2"/>
  <c r="H479" i="2" s="1"/>
  <c r="T479" i="1" s="1"/>
  <c r="G478" i="2"/>
  <c r="F478" i="2"/>
  <c r="B478" i="2"/>
  <c r="H478" i="2" s="1"/>
  <c r="T478" i="1" s="1"/>
  <c r="G477" i="2"/>
  <c r="F477" i="2"/>
  <c r="B477" i="2"/>
  <c r="H477" i="2" s="1"/>
  <c r="T477" i="1" s="1"/>
  <c r="G476" i="2"/>
  <c r="F476" i="2"/>
  <c r="B476" i="2"/>
  <c r="H476" i="2" s="1"/>
  <c r="T476" i="1" s="1"/>
  <c r="G475" i="2"/>
  <c r="F475" i="2"/>
  <c r="B475" i="2"/>
  <c r="H475" i="2" s="1"/>
  <c r="T475" i="1" s="1"/>
  <c r="G474" i="2"/>
  <c r="F474" i="2"/>
  <c r="B474" i="2"/>
  <c r="H474" i="2" s="1"/>
  <c r="T474" i="1" s="1"/>
  <c r="G473" i="2"/>
  <c r="F473" i="2"/>
  <c r="B473" i="2"/>
  <c r="H473" i="2" s="1"/>
  <c r="T473" i="1" s="1"/>
  <c r="G472" i="2"/>
  <c r="F472" i="2"/>
  <c r="B472" i="2"/>
  <c r="H472" i="2" s="1"/>
  <c r="T472" i="1" s="1"/>
  <c r="G471" i="2"/>
  <c r="F471" i="2"/>
  <c r="B471" i="2"/>
  <c r="H471" i="2" s="1"/>
  <c r="T471" i="1" s="1"/>
  <c r="G470" i="2"/>
  <c r="F470" i="2"/>
  <c r="B470" i="2"/>
  <c r="H470" i="2" s="1"/>
  <c r="T470" i="1" s="1"/>
  <c r="G469" i="2"/>
  <c r="F469" i="2"/>
  <c r="B469" i="2"/>
  <c r="H469" i="2" s="1"/>
  <c r="T469" i="1" s="1"/>
  <c r="G468" i="2"/>
  <c r="F468" i="2"/>
  <c r="B468" i="2"/>
  <c r="H468" i="2" s="1"/>
  <c r="T468" i="1" s="1"/>
  <c r="G467" i="2"/>
  <c r="F467" i="2"/>
  <c r="B467" i="2"/>
  <c r="H467" i="2" s="1"/>
  <c r="T467" i="1" s="1"/>
  <c r="G466" i="2"/>
  <c r="F466" i="2"/>
  <c r="B466" i="2"/>
  <c r="H466" i="2" s="1"/>
  <c r="T466" i="1" s="1"/>
  <c r="G465" i="2"/>
  <c r="F465" i="2"/>
  <c r="B465" i="2"/>
  <c r="H465" i="2" s="1"/>
  <c r="T465" i="1" s="1"/>
  <c r="G464" i="2"/>
  <c r="F464" i="2"/>
  <c r="B464" i="2"/>
  <c r="H464" i="2" s="1"/>
  <c r="T464" i="1" s="1"/>
  <c r="G463" i="2"/>
  <c r="F463" i="2"/>
  <c r="B463" i="2"/>
  <c r="H463" i="2" s="1"/>
  <c r="T463" i="1" s="1"/>
  <c r="G462" i="2"/>
  <c r="F462" i="2"/>
  <c r="B462" i="2"/>
  <c r="H462" i="2" s="1"/>
  <c r="T462" i="1" s="1"/>
  <c r="G461" i="2"/>
  <c r="F461" i="2"/>
  <c r="B461" i="2"/>
  <c r="H461" i="2" s="1"/>
  <c r="T461" i="1" s="1"/>
  <c r="G460" i="2"/>
  <c r="F460" i="2"/>
  <c r="B460" i="2"/>
  <c r="H460" i="2" s="1"/>
  <c r="T460" i="1" s="1"/>
  <c r="G459" i="2"/>
  <c r="F459" i="2"/>
  <c r="B459" i="2"/>
  <c r="H459" i="2" s="1"/>
  <c r="T459" i="1" s="1"/>
  <c r="G458" i="2"/>
  <c r="F458" i="2"/>
  <c r="B458" i="2"/>
  <c r="H458" i="2" s="1"/>
  <c r="T458" i="1" s="1"/>
  <c r="G457" i="2"/>
  <c r="F457" i="2"/>
  <c r="B457" i="2"/>
  <c r="H457" i="2" s="1"/>
  <c r="T457" i="1" s="1"/>
  <c r="G456" i="2"/>
  <c r="F456" i="2"/>
  <c r="B456" i="2"/>
  <c r="H456" i="2" s="1"/>
  <c r="T456" i="1" s="1"/>
  <c r="G455" i="2"/>
  <c r="F455" i="2"/>
  <c r="B455" i="2"/>
  <c r="H455" i="2" s="1"/>
  <c r="T455" i="1" s="1"/>
  <c r="G454" i="2"/>
  <c r="F454" i="2"/>
  <c r="B454" i="2"/>
  <c r="H454" i="2" s="1"/>
  <c r="T454" i="1" s="1"/>
  <c r="G453" i="2"/>
  <c r="F453" i="2"/>
  <c r="B453" i="2"/>
  <c r="H453" i="2" s="1"/>
  <c r="T453" i="1" s="1"/>
  <c r="G452" i="2"/>
  <c r="F452" i="2"/>
  <c r="B452" i="2"/>
  <c r="H452" i="2" s="1"/>
  <c r="T452" i="1" s="1"/>
  <c r="G451" i="2"/>
  <c r="F451" i="2"/>
  <c r="B451" i="2"/>
  <c r="H451" i="2" s="1"/>
  <c r="T451" i="1" s="1"/>
  <c r="G450" i="2"/>
  <c r="F450" i="2"/>
  <c r="B450" i="2"/>
  <c r="H450" i="2" s="1"/>
  <c r="T450" i="1" s="1"/>
  <c r="G449" i="2"/>
  <c r="F449" i="2"/>
  <c r="B449" i="2"/>
  <c r="H449" i="2" s="1"/>
  <c r="T449" i="1" s="1"/>
  <c r="G448" i="2"/>
  <c r="F448" i="2"/>
  <c r="B448" i="2"/>
  <c r="H448" i="2" s="1"/>
  <c r="T448" i="1" s="1"/>
  <c r="G447" i="2"/>
  <c r="F447" i="2"/>
  <c r="B447" i="2"/>
  <c r="H447" i="2" s="1"/>
  <c r="T447" i="1" s="1"/>
  <c r="G446" i="2"/>
  <c r="F446" i="2"/>
  <c r="B446" i="2"/>
  <c r="H446" i="2" s="1"/>
  <c r="T446" i="1" s="1"/>
  <c r="G445" i="2"/>
  <c r="F445" i="2"/>
  <c r="B445" i="2"/>
  <c r="H445" i="2" s="1"/>
  <c r="T445" i="1" s="1"/>
  <c r="G444" i="2"/>
  <c r="F444" i="2"/>
  <c r="B444" i="2"/>
  <c r="H444" i="2" s="1"/>
  <c r="T444" i="1" s="1"/>
  <c r="G443" i="2"/>
  <c r="F443" i="2"/>
  <c r="B443" i="2"/>
  <c r="H443" i="2" s="1"/>
  <c r="T443" i="1" s="1"/>
  <c r="G442" i="2"/>
  <c r="F442" i="2"/>
  <c r="B442" i="2"/>
  <c r="H442" i="2" s="1"/>
  <c r="T442" i="1" s="1"/>
  <c r="G441" i="2"/>
  <c r="F441" i="2"/>
  <c r="B441" i="2"/>
  <c r="H441" i="2" s="1"/>
  <c r="T441" i="1" s="1"/>
  <c r="G440" i="2"/>
  <c r="F440" i="2"/>
  <c r="B440" i="2"/>
  <c r="H440" i="2" s="1"/>
  <c r="T440" i="1" s="1"/>
  <c r="G439" i="2"/>
  <c r="F439" i="2"/>
  <c r="B439" i="2"/>
  <c r="H439" i="2" s="1"/>
  <c r="T439" i="1" s="1"/>
  <c r="G438" i="2"/>
  <c r="F438" i="2"/>
  <c r="B438" i="2"/>
  <c r="H438" i="2" s="1"/>
  <c r="T438" i="1" s="1"/>
  <c r="G437" i="2"/>
  <c r="F437" i="2"/>
  <c r="B437" i="2"/>
  <c r="H437" i="2" s="1"/>
  <c r="T437" i="1" s="1"/>
  <c r="G436" i="2"/>
  <c r="F436" i="2"/>
  <c r="B436" i="2"/>
  <c r="H436" i="2" s="1"/>
  <c r="T436" i="1" s="1"/>
  <c r="G435" i="2"/>
  <c r="F435" i="2"/>
  <c r="B435" i="2"/>
  <c r="H435" i="2" s="1"/>
  <c r="T435" i="1" s="1"/>
  <c r="G434" i="2"/>
  <c r="F434" i="2"/>
  <c r="B434" i="2"/>
  <c r="H434" i="2" s="1"/>
  <c r="T434" i="1" s="1"/>
  <c r="G433" i="2"/>
  <c r="F433" i="2"/>
  <c r="B433" i="2"/>
  <c r="H433" i="2" s="1"/>
  <c r="T433" i="1" s="1"/>
  <c r="G432" i="2"/>
  <c r="F432" i="2"/>
  <c r="B432" i="2"/>
  <c r="H432" i="2" s="1"/>
  <c r="T432" i="1" s="1"/>
  <c r="G431" i="2"/>
  <c r="F431" i="2"/>
  <c r="B431" i="2"/>
  <c r="H431" i="2" s="1"/>
  <c r="T431" i="1" s="1"/>
  <c r="G430" i="2"/>
  <c r="F430" i="2"/>
  <c r="B430" i="2"/>
  <c r="H430" i="2" s="1"/>
  <c r="T430" i="1" s="1"/>
  <c r="G429" i="2"/>
  <c r="F429" i="2"/>
  <c r="B429" i="2"/>
  <c r="H429" i="2" s="1"/>
  <c r="T429" i="1" s="1"/>
  <c r="G428" i="2"/>
  <c r="F428" i="2"/>
  <c r="B428" i="2"/>
  <c r="H428" i="2" s="1"/>
  <c r="T428" i="1" s="1"/>
  <c r="G427" i="2"/>
  <c r="F427" i="2"/>
  <c r="B427" i="2"/>
  <c r="H427" i="2" s="1"/>
  <c r="T427" i="1" s="1"/>
  <c r="G426" i="2"/>
  <c r="F426" i="2"/>
  <c r="B426" i="2"/>
  <c r="H426" i="2" s="1"/>
  <c r="T426" i="1" s="1"/>
  <c r="G425" i="2"/>
  <c r="F425" i="2"/>
  <c r="B425" i="2"/>
  <c r="H425" i="2" s="1"/>
  <c r="T425" i="1" s="1"/>
  <c r="G424" i="2"/>
  <c r="F424" i="2"/>
  <c r="B424" i="2"/>
  <c r="H424" i="2" s="1"/>
  <c r="T424" i="1" s="1"/>
  <c r="G423" i="2"/>
  <c r="F423" i="2"/>
  <c r="B423" i="2"/>
  <c r="H423" i="2" s="1"/>
  <c r="T423" i="1" s="1"/>
  <c r="G422" i="2"/>
  <c r="F422" i="2"/>
  <c r="B422" i="2"/>
  <c r="H422" i="2" s="1"/>
  <c r="T422" i="1" s="1"/>
  <c r="G421" i="2"/>
  <c r="F421" i="2"/>
  <c r="B421" i="2"/>
  <c r="H421" i="2" s="1"/>
  <c r="T421" i="1" s="1"/>
  <c r="G420" i="2"/>
  <c r="F420" i="2"/>
  <c r="B420" i="2"/>
  <c r="H420" i="2" s="1"/>
  <c r="T420" i="1" s="1"/>
  <c r="G419" i="2"/>
  <c r="F419" i="2"/>
  <c r="B419" i="2"/>
  <c r="H419" i="2" s="1"/>
  <c r="T419" i="1" s="1"/>
  <c r="G418" i="2"/>
  <c r="F418" i="2"/>
  <c r="B418" i="2"/>
  <c r="H418" i="2" s="1"/>
  <c r="T418" i="1" s="1"/>
  <c r="G417" i="2"/>
  <c r="F417" i="2"/>
  <c r="B417" i="2"/>
  <c r="H417" i="2" s="1"/>
  <c r="T417" i="1" s="1"/>
  <c r="G416" i="2"/>
  <c r="F416" i="2"/>
  <c r="B416" i="2"/>
  <c r="H416" i="2" s="1"/>
  <c r="T416" i="1" s="1"/>
  <c r="G415" i="2"/>
  <c r="F415" i="2"/>
  <c r="B415" i="2"/>
  <c r="H415" i="2" s="1"/>
  <c r="T415" i="1" s="1"/>
  <c r="G414" i="2"/>
  <c r="F414" i="2"/>
  <c r="B414" i="2"/>
  <c r="H414" i="2" s="1"/>
  <c r="T414" i="1" s="1"/>
  <c r="G413" i="2"/>
  <c r="F413" i="2"/>
  <c r="B413" i="2"/>
  <c r="H413" i="2" s="1"/>
  <c r="T413" i="1" s="1"/>
  <c r="G412" i="2"/>
  <c r="F412" i="2"/>
  <c r="B412" i="2"/>
  <c r="H412" i="2" s="1"/>
  <c r="T412" i="1" s="1"/>
  <c r="G411" i="2"/>
  <c r="F411" i="2"/>
  <c r="B411" i="2"/>
  <c r="H411" i="2" s="1"/>
  <c r="T411" i="1" s="1"/>
  <c r="G410" i="2"/>
  <c r="F410" i="2"/>
  <c r="B410" i="2"/>
  <c r="H410" i="2" s="1"/>
  <c r="T410" i="1" s="1"/>
  <c r="G409" i="2"/>
  <c r="F409" i="2"/>
  <c r="B409" i="2"/>
  <c r="H409" i="2" s="1"/>
  <c r="T409" i="1" s="1"/>
  <c r="G408" i="2"/>
  <c r="F408" i="2"/>
  <c r="B408" i="2"/>
  <c r="H408" i="2" s="1"/>
  <c r="T408" i="1" s="1"/>
  <c r="G407" i="2"/>
  <c r="F407" i="2"/>
  <c r="B407" i="2"/>
  <c r="H407" i="2" s="1"/>
  <c r="T407" i="1" s="1"/>
  <c r="G406" i="2"/>
  <c r="F406" i="2"/>
  <c r="B406" i="2"/>
  <c r="H406" i="2" s="1"/>
  <c r="T406" i="1" s="1"/>
  <c r="G405" i="2"/>
  <c r="F405" i="2"/>
  <c r="B405" i="2"/>
  <c r="H405" i="2" s="1"/>
  <c r="T405" i="1" s="1"/>
  <c r="G404" i="2"/>
  <c r="F404" i="2"/>
  <c r="B404" i="2"/>
  <c r="H404" i="2" s="1"/>
  <c r="T404" i="1" s="1"/>
  <c r="G403" i="2"/>
  <c r="F403" i="2"/>
  <c r="B403" i="2"/>
  <c r="H403" i="2" s="1"/>
  <c r="T403" i="1" s="1"/>
  <c r="G402" i="2"/>
  <c r="F402" i="2"/>
  <c r="B402" i="2"/>
  <c r="H402" i="2" s="1"/>
  <c r="T402" i="1" s="1"/>
  <c r="G401" i="2"/>
  <c r="F401" i="2"/>
  <c r="B401" i="2"/>
  <c r="H401" i="2" s="1"/>
  <c r="T401" i="1" s="1"/>
  <c r="G400" i="2"/>
  <c r="F400" i="2"/>
  <c r="B400" i="2"/>
  <c r="H400" i="2" s="1"/>
  <c r="T400" i="1" s="1"/>
  <c r="G399" i="2"/>
  <c r="F399" i="2"/>
  <c r="B399" i="2"/>
  <c r="H399" i="2" s="1"/>
  <c r="T399" i="1" s="1"/>
  <c r="G398" i="2"/>
  <c r="F398" i="2"/>
  <c r="B398" i="2"/>
  <c r="H398" i="2" s="1"/>
  <c r="T398" i="1" s="1"/>
  <c r="G397" i="2"/>
  <c r="F397" i="2"/>
  <c r="B397" i="2"/>
  <c r="H397" i="2" s="1"/>
  <c r="T397" i="1" s="1"/>
  <c r="G396" i="2"/>
  <c r="F396" i="2"/>
  <c r="B396" i="2"/>
  <c r="H396" i="2" s="1"/>
  <c r="T396" i="1" s="1"/>
  <c r="G395" i="2"/>
  <c r="F395" i="2"/>
  <c r="B395" i="2"/>
  <c r="H395" i="2" s="1"/>
  <c r="T395" i="1" s="1"/>
  <c r="G394" i="2"/>
  <c r="F394" i="2"/>
  <c r="B394" i="2"/>
  <c r="H394" i="2" s="1"/>
  <c r="T394" i="1" s="1"/>
  <c r="G393" i="2"/>
  <c r="F393" i="2"/>
  <c r="B393" i="2"/>
  <c r="H393" i="2" s="1"/>
  <c r="T393" i="1" s="1"/>
  <c r="G392" i="2"/>
  <c r="F392" i="2"/>
  <c r="B392" i="2"/>
  <c r="H392" i="2" s="1"/>
  <c r="T392" i="1" s="1"/>
  <c r="G391" i="2"/>
  <c r="F391" i="2"/>
  <c r="B391" i="2"/>
  <c r="H391" i="2" s="1"/>
  <c r="T391" i="1" s="1"/>
  <c r="G390" i="2"/>
  <c r="F390" i="2"/>
  <c r="B390" i="2"/>
  <c r="H390" i="2" s="1"/>
  <c r="T390" i="1" s="1"/>
  <c r="G389" i="2"/>
  <c r="F389" i="2"/>
  <c r="B389" i="2"/>
  <c r="H389" i="2" s="1"/>
  <c r="T389" i="1" s="1"/>
  <c r="G388" i="2"/>
  <c r="F388" i="2"/>
  <c r="B388" i="2"/>
  <c r="H388" i="2" s="1"/>
  <c r="T388" i="1" s="1"/>
  <c r="G387" i="2"/>
  <c r="F387" i="2"/>
  <c r="B387" i="2"/>
  <c r="H387" i="2" s="1"/>
  <c r="T387" i="1" s="1"/>
  <c r="G386" i="2"/>
  <c r="F386" i="2"/>
  <c r="B386" i="2"/>
  <c r="H386" i="2" s="1"/>
  <c r="T386" i="1" s="1"/>
  <c r="G385" i="2"/>
  <c r="F385" i="2"/>
  <c r="B385" i="2"/>
  <c r="H385" i="2" s="1"/>
  <c r="T385" i="1" s="1"/>
  <c r="G384" i="2"/>
  <c r="F384" i="2"/>
  <c r="B384" i="2"/>
  <c r="H384" i="2" s="1"/>
  <c r="T384" i="1" s="1"/>
  <c r="G383" i="2"/>
  <c r="F383" i="2"/>
  <c r="B383" i="2"/>
  <c r="H383" i="2" s="1"/>
  <c r="T383" i="1" s="1"/>
  <c r="G382" i="2"/>
  <c r="F382" i="2"/>
  <c r="B382" i="2"/>
  <c r="H382" i="2" s="1"/>
  <c r="T382" i="1" s="1"/>
  <c r="G381" i="2"/>
  <c r="F381" i="2"/>
  <c r="B381" i="2"/>
  <c r="H381" i="2" s="1"/>
  <c r="T381" i="1" s="1"/>
  <c r="G380" i="2"/>
  <c r="F380" i="2"/>
  <c r="B380" i="2"/>
  <c r="H380" i="2" s="1"/>
  <c r="T380" i="1" s="1"/>
  <c r="G379" i="2"/>
  <c r="F379" i="2"/>
  <c r="B379" i="2"/>
  <c r="H379" i="2" s="1"/>
  <c r="T379" i="1" s="1"/>
  <c r="G378" i="2"/>
  <c r="F378" i="2"/>
  <c r="B378" i="2"/>
  <c r="H378" i="2" s="1"/>
  <c r="T378" i="1" s="1"/>
  <c r="G377" i="2"/>
  <c r="F377" i="2"/>
  <c r="B377" i="2"/>
  <c r="H377" i="2" s="1"/>
  <c r="T377" i="1" s="1"/>
  <c r="G376" i="2"/>
  <c r="F376" i="2"/>
  <c r="B376" i="2"/>
  <c r="H376" i="2" s="1"/>
  <c r="T376" i="1" s="1"/>
  <c r="G375" i="2"/>
  <c r="F375" i="2"/>
  <c r="B375" i="2"/>
  <c r="H375" i="2" s="1"/>
  <c r="T375" i="1" s="1"/>
  <c r="G374" i="2"/>
  <c r="F374" i="2"/>
  <c r="B374" i="2"/>
  <c r="H374" i="2" s="1"/>
  <c r="T374" i="1" s="1"/>
  <c r="G373" i="2"/>
  <c r="F373" i="2"/>
  <c r="B373" i="2"/>
  <c r="H373" i="2" s="1"/>
  <c r="T373" i="1" s="1"/>
  <c r="G372" i="2"/>
  <c r="F372" i="2"/>
  <c r="B372" i="2"/>
  <c r="H372" i="2" s="1"/>
  <c r="T372" i="1" s="1"/>
  <c r="G371" i="2"/>
  <c r="F371" i="2"/>
  <c r="B371" i="2"/>
  <c r="H371" i="2" s="1"/>
  <c r="T371" i="1" s="1"/>
  <c r="G370" i="2"/>
  <c r="F370" i="2"/>
  <c r="B370" i="2"/>
  <c r="H370" i="2" s="1"/>
  <c r="T370" i="1" s="1"/>
  <c r="G369" i="2"/>
  <c r="F369" i="2"/>
  <c r="B369" i="2"/>
  <c r="H369" i="2" s="1"/>
  <c r="T369" i="1" s="1"/>
  <c r="G368" i="2"/>
  <c r="F368" i="2"/>
  <c r="B368" i="2"/>
  <c r="H368" i="2" s="1"/>
  <c r="T368" i="1" s="1"/>
  <c r="G367" i="2"/>
  <c r="F367" i="2"/>
  <c r="B367" i="2"/>
  <c r="H367" i="2" s="1"/>
  <c r="T367" i="1" s="1"/>
  <c r="G366" i="2"/>
  <c r="F366" i="2"/>
  <c r="B366" i="2"/>
  <c r="H366" i="2" s="1"/>
  <c r="T366" i="1" s="1"/>
  <c r="G365" i="2"/>
  <c r="F365" i="2"/>
  <c r="B365" i="2"/>
  <c r="H365" i="2" s="1"/>
  <c r="T365" i="1" s="1"/>
  <c r="G364" i="2"/>
  <c r="F364" i="2"/>
  <c r="B364" i="2"/>
  <c r="H364" i="2" s="1"/>
  <c r="T364" i="1" s="1"/>
  <c r="G363" i="2"/>
  <c r="F363" i="2"/>
  <c r="B363" i="2"/>
  <c r="H363" i="2" s="1"/>
  <c r="T363" i="1" s="1"/>
  <c r="G362" i="2"/>
  <c r="F362" i="2"/>
  <c r="B362" i="2"/>
  <c r="H362" i="2" s="1"/>
  <c r="T362" i="1" s="1"/>
  <c r="G361" i="2"/>
  <c r="F361" i="2"/>
  <c r="B361" i="2"/>
  <c r="H361" i="2" s="1"/>
  <c r="T361" i="1" s="1"/>
  <c r="G360" i="2"/>
  <c r="F360" i="2"/>
  <c r="B360" i="2"/>
  <c r="H360" i="2" s="1"/>
  <c r="T360" i="1" s="1"/>
  <c r="G359" i="2"/>
  <c r="F359" i="2"/>
  <c r="B359" i="2"/>
  <c r="H359" i="2" s="1"/>
  <c r="T359" i="1" s="1"/>
  <c r="G358" i="2"/>
  <c r="F358" i="2"/>
  <c r="B358" i="2"/>
  <c r="H358" i="2" s="1"/>
  <c r="T358" i="1" s="1"/>
  <c r="G357" i="2"/>
  <c r="F357" i="2"/>
  <c r="B357" i="2"/>
  <c r="H357" i="2" s="1"/>
  <c r="T357" i="1" s="1"/>
  <c r="G356" i="2"/>
  <c r="F356" i="2"/>
  <c r="B356" i="2"/>
  <c r="H356" i="2" s="1"/>
  <c r="T356" i="1" s="1"/>
  <c r="G355" i="2"/>
  <c r="F355" i="2"/>
  <c r="B355" i="2"/>
  <c r="H355" i="2" s="1"/>
  <c r="T355" i="1" s="1"/>
  <c r="G354" i="2"/>
  <c r="F354" i="2"/>
  <c r="B354" i="2"/>
  <c r="H354" i="2" s="1"/>
  <c r="T354" i="1" s="1"/>
  <c r="G353" i="2"/>
  <c r="F353" i="2"/>
  <c r="B353" i="2"/>
  <c r="H353" i="2" s="1"/>
  <c r="T353" i="1" s="1"/>
  <c r="G352" i="2"/>
  <c r="F352" i="2"/>
  <c r="B352" i="2"/>
  <c r="H352" i="2" s="1"/>
  <c r="T352" i="1" s="1"/>
  <c r="G351" i="2"/>
  <c r="F351" i="2"/>
  <c r="B351" i="2"/>
  <c r="H351" i="2" s="1"/>
  <c r="T351" i="1" s="1"/>
  <c r="G350" i="2"/>
  <c r="F350" i="2"/>
  <c r="B350" i="2"/>
  <c r="H350" i="2" s="1"/>
  <c r="T350" i="1" s="1"/>
  <c r="G349" i="2"/>
  <c r="F349" i="2"/>
  <c r="B349" i="2"/>
  <c r="H349" i="2" s="1"/>
  <c r="T349" i="1" s="1"/>
  <c r="G348" i="2"/>
  <c r="F348" i="2"/>
  <c r="B348" i="2"/>
  <c r="H348" i="2" s="1"/>
  <c r="T348" i="1" s="1"/>
  <c r="G347" i="2"/>
  <c r="F347" i="2"/>
  <c r="B347" i="2"/>
  <c r="H347" i="2" s="1"/>
  <c r="T347" i="1" s="1"/>
  <c r="G346" i="2"/>
  <c r="F346" i="2"/>
  <c r="B346" i="2"/>
  <c r="H346" i="2" s="1"/>
  <c r="T346" i="1" s="1"/>
  <c r="G345" i="2"/>
  <c r="F345" i="2"/>
  <c r="B345" i="2"/>
  <c r="H345" i="2" s="1"/>
  <c r="T345" i="1" s="1"/>
  <c r="G344" i="2"/>
  <c r="F344" i="2"/>
  <c r="B344" i="2"/>
  <c r="H344" i="2" s="1"/>
  <c r="T344" i="1" s="1"/>
  <c r="G343" i="2"/>
  <c r="F343" i="2"/>
  <c r="B343" i="2"/>
  <c r="H343" i="2" s="1"/>
  <c r="T343" i="1" s="1"/>
  <c r="G342" i="2"/>
  <c r="F342" i="2"/>
  <c r="B342" i="2"/>
  <c r="H342" i="2" s="1"/>
  <c r="T342" i="1" s="1"/>
  <c r="G341" i="2"/>
  <c r="F341" i="2"/>
  <c r="B341" i="2"/>
  <c r="H341" i="2" s="1"/>
  <c r="T341" i="1" s="1"/>
  <c r="G340" i="2"/>
  <c r="F340" i="2"/>
  <c r="B340" i="2"/>
  <c r="H340" i="2" s="1"/>
  <c r="T340" i="1" s="1"/>
  <c r="G339" i="2"/>
  <c r="F339" i="2"/>
  <c r="B339" i="2"/>
  <c r="H339" i="2" s="1"/>
  <c r="T339" i="1" s="1"/>
  <c r="G338" i="2"/>
  <c r="F338" i="2"/>
  <c r="B338" i="2"/>
  <c r="H338" i="2" s="1"/>
  <c r="T338" i="1" s="1"/>
  <c r="G337" i="2"/>
  <c r="F337" i="2"/>
  <c r="B337" i="2"/>
  <c r="H337" i="2" s="1"/>
  <c r="T337" i="1" s="1"/>
  <c r="G336" i="2"/>
  <c r="F336" i="2"/>
  <c r="B336" i="2"/>
  <c r="H336" i="2" s="1"/>
  <c r="T336" i="1" s="1"/>
  <c r="G335" i="2"/>
  <c r="F335" i="2"/>
  <c r="B335" i="2"/>
  <c r="H335" i="2" s="1"/>
  <c r="T335" i="1" s="1"/>
  <c r="G334" i="2"/>
  <c r="F334" i="2"/>
  <c r="B334" i="2"/>
  <c r="H334" i="2" s="1"/>
  <c r="T334" i="1" s="1"/>
  <c r="G333" i="2"/>
  <c r="F333" i="2"/>
  <c r="B333" i="2"/>
  <c r="H333" i="2" s="1"/>
  <c r="T333" i="1" s="1"/>
  <c r="G332" i="2"/>
  <c r="F332" i="2"/>
  <c r="B332" i="2"/>
  <c r="H332" i="2" s="1"/>
  <c r="T332" i="1" s="1"/>
  <c r="G331" i="2"/>
  <c r="F331" i="2"/>
  <c r="B331" i="2"/>
  <c r="H331" i="2" s="1"/>
  <c r="T331" i="1" s="1"/>
  <c r="G330" i="2"/>
  <c r="F330" i="2"/>
  <c r="B330" i="2"/>
  <c r="H330" i="2" s="1"/>
  <c r="T330" i="1" s="1"/>
  <c r="G329" i="2"/>
  <c r="F329" i="2"/>
  <c r="B329" i="2"/>
  <c r="H329" i="2" s="1"/>
  <c r="T329" i="1" s="1"/>
  <c r="G328" i="2"/>
  <c r="F328" i="2"/>
  <c r="B328" i="2"/>
  <c r="H328" i="2" s="1"/>
  <c r="T328" i="1" s="1"/>
  <c r="G327" i="2"/>
  <c r="F327" i="2"/>
  <c r="B327" i="2"/>
  <c r="H327" i="2" s="1"/>
  <c r="T327" i="1" s="1"/>
  <c r="G326" i="2"/>
  <c r="F326" i="2"/>
  <c r="B326" i="2"/>
  <c r="H326" i="2" s="1"/>
  <c r="T326" i="1" s="1"/>
  <c r="G325" i="2"/>
  <c r="F325" i="2"/>
  <c r="B325" i="2"/>
  <c r="H325" i="2" s="1"/>
  <c r="T325" i="1" s="1"/>
  <c r="G324" i="2"/>
  <c r="F324" i="2"/>
  <c r="B324" i="2"/>
  <c r="H324" i="2" s="1"/>
  <c r="T324" i="1" s="1"/>
  <c r="G323" i="2"/>
  <c r="F323" i="2"/>
  <c r="B323" i="2"/>
  <c r="H323" i="2" s="1"/>
  <c r="T323" i="1" s="1"/>
  <c r="G322" i="2"/>
  <c r="F322" i="2"/>
  <c r="B322" i="2"/>
  <c r="H322" i="2" s="1"/>
  <c r="T322" i="1" s="1"/>
  <c r="G321" i="2"/>
  <c r="F321" i="2"/>
  <c r="B321" i="2"/>
  <c r="H321" i="2" s="1"/>
  <c r="T321" i="1" s="1"/>
  <c r="G320" i="2"/>
  <c r="F320" i="2"/>
  <c r="B320" i="2"/>
  <c r="H320" i="2" s="1"/>
  <c r="T320" i="1" s="1"/>
  <c r="G319" i="2"/>
  <c r="F319" i="2"/>
  <c r="B319" i="2"/>
  <c r="H319" i="2" s="1"/>
  <c r="T319" i="1" s="1"/>
  <c r="G318" i="2"/>
  <c r="F318" i="2"/>
  <c r="B318" i="2"/>
  <c r="H318" i="2" s="1"/>
  <c r="T318" i="1" s="1"/>
  <c r="G317" i="2"/>
  <c r="F317" i="2"/>
  <c r="B317" i="2"/>
  <c r="H317" i="2" s="1"/>
  <c r="T317" i="1" s="1"/>
  <c r="G316" i="2"/>
  <c r="F316" i="2"/>
  <c r="B316" i="2"/>
  <c r="H316" i="2" s="1"/>
  <c r="T316" i="1" s="1"/>
  <c r="G315" i="2"/>
  <c r="F315" i="2"/>
  <c r="B315" i="2"/>
  <c r="H315" i="2" s="1"/>
  <c r="T315" i="1" s="1"/>
  <c r="G314" i="2"/>
  <c r="F314" i="2"/>
  <c r="B314" i="2"/>
  <c r="H314" i="2" s="1"/>
  <c r="T314" i="1" s="1"/>
  <c r="G313" i="2"/>
  <c r="F313" i="2"/>
  <c r="B313" i="2"/>
  <c r="H313" i="2" s="1"/>
  <c r="T313" i="1" s="1"/>
  <c r="G312" i="2"/>
  <c r="F312" i="2"/>
  <c r="B312" i="2"/>
  <c r="H312" i="2" s="1"/>
  <c r="T312" i="1" s="1"/>
  <c r="G311" i="2"/>
  <c r="F311" i="2"/>
  <c r="B311" i="2"/>
  <c r="H311" i="2" s="1"/>
  <c r="T311" i="1" s="1"/>
  <c r="G310" i="2"/>
  <c r="F310" i="2"/>
  <c r="B310" i="2"/>
  <c r="H310" i="2" s="1"/>
  <c r="T310" i="1" s="1"/>
  <c r="G309" i="2"/>
  <c r="F309" i="2"/>
  <c r="B309" i="2"/>
  <c r="H309" i="2" s="1"/>
  <c r="T309" i="1" s="1"/>
  <c r="G308" i="2"/>
  <c r="F308" i="2"/>
  <c r="B308" i="2"/>
  <c r="H308" i="2" s="1"/>
  <c r="T308" i="1" s="1"/>
  <c r="G307" i="2"/>
  <c r="F307" i="2"/>
  <c r="B307" i="2"/>
  <c r="H307" i="2" s="1"/>
  <c r="T307" i="1" s="1"/>
  <c r="G306" i="2"/>
  <c r="F306" i="2"/>
  <c r="B306" i="2"/>
  <c r="H306" i="2" s="1"/>
  <c r="T306" i="1" s="1"/>
  <c r="G305" i="2"/>
  <c r="F305" i="2"/>
  <c r="B305" i="2"/>
  <c r="H305" i="2" s="1"/>
  <c r="T305" i="1" s="1"/>
  <c r="G304" i="2"/>
  <c r="F304" i="2"/>
  <c r="B304" i="2"/>
  <c r="H304" i="2" s="1"/>
  <c r="T304" i="1" s="1"/>
  <c r="G303" i="2"/>
  <c r="F303" i="2"/>
  <c r="B303" i="2"/>
  <c r="H303" i="2" s="1"/>
  <c r="T303" i="1" s="1"/>
  <c r="G302" i="2"/>
  <c r="F302" i="2"/>
  <c r="B302" i="2"/>
  <c r="H302" i="2" s="1"/>
  <c r="T302" i="1" s="1"/>
  <c r="G301" i="2"/>
  <c r="F301" i="2"/>
  <c r="B301" i="2"/>
  <c r="H301" i="2" s="1"/>
  <c r="T301" i="1" s="1"/>
  <c r="G300" i="2"/>
  <c r="F300" i="2"/>
  <c r="B300" i="2"/>
  <c r="H300" i="2" s="1"/>
  <c r="T300" i="1" s="1"/>
  <c r="G299" i="2"/>
  <c r="F299" i="2"/>
  <c r="B299" i="2"/>
  <c r="H299" i="2" s="1"/>
  <c r="T299" i="1" s="1"/>
  <c r="G298" i="2"/>
  <c r="F298" i="2"/>
  <c r="B298" i="2"/>
  <c r="H298" i="2" s="1"/>
  <c r="T298" i="1" s="1"/>
  <c r="G297" i="2"/>
  <c r="F297" i="2"/>
  <c r="B297" i="2"/>
  <c r="H297" i="2" s="1"/>
  <c r="T297" i="1" s="1"/>
  <c r="G296" i="2"/>
  <c r="F296" i="2"/>
  <c r="B296" i="2"/>
  <c r="H296" i="2" s="1"/>
  <c r="T296" i="1" s="1"/>
  <c r="G295" i="2"/>
  <c r="F295" i="2"/>
  <c r="B295" i="2"/>
  <c r="H295" i="2" s="1"/>
  <c r="T295" i="1" s="1"/>
  <c r="G294" i="2"/>
  <c r="F294" i="2"/>
  <c r="B294" i="2"/>
  <c r="H294" i="2" s="1"/>
  <c r="T294" i="1" s="1"/>
  <c r="G293" i="2"/>
  <c r="F293" i="2"/>
  <c r="B293" i="2"/>
  <c r="H293" i="2" s="1"/>
  <c r="T293" i="1" s="1"/>
  <c r="G292" i="2"/>
  <c r="F292" i="2"/>
  <c r="B292" i="2"/>
  <c r="H292" i="2" s="1"/>
  <c r="T292" i="1" s="1"/>
  <c r="G291" i="2"/>
  <c r="F291" i="2"/>
  <c r="B291" i="2"/>
  <c r="H291" i="2" s="1"/>
  <c r="T291" i="1" s="1"/>
  <c r="G290" i="2"/>
  <c r="F290" i="2"/>
  <c r="B290" i="2"/>
  <c r="H290" i="2" s="1"/>
  <c r="T290" i="1" s="1"/>
  <c r="G289" i="2"/>
  <c r="F289" i="2"/>
  <c r="B289" i="2"/>
  <c r="H289" i="2" s="1"/>
  <c r="T289" i="1" s="1"/>
  <c r="G288" i="2"/>
  <c r="F288" i="2"/>
  <c r="B288" i="2"/>
  <c r="H288" i="2" s="1"/>
  <c r="T288" i="1" s="1"/>
  <c r="G287" i="2"/>
  <c r="F287" i="2"/>
  <c r="B287" i="2"/>
  <c r="H287" i="2" s="1"/>
  <c r="T287" i="1" s="1"/>
  <c r="G286" i="2"/>
  <c r="F286" i="2"/>
  <c r="B286" i="2"/>
  <c r="H286" i="2" s="1"/>
  <c r="T286" i="1" s="1"/>
  <c r="G285" i="2"/>
  <c r="F285" i="2"/>
  <c r="B285" i="2"/>
  <c r="H285" i="2" s="1"/>
  <c r="T285" i="1" s="1"/>
  <c r="G284" i="2"/>
  <c r="F284" i="2"/>
  <c r="B284" i="2"/>
  <c r="H284" i="2" s="1"/>
  <c r="T284" i="1" s="1"/>
  <c r="G283" i="2"/>
  <c r="F283" i="2"/>
  <c r="B283" i="2"/>
  <c r="H283" i="2" s="1"/>
  <c r="T283" i="1" s="1"/>
  <c r="G282" i="2"/>
  <c r="F282" i="2"/>
  <c r="B282" i="2"/>
  <c r="H282" i="2" s="1"/>
  <c r="T282" i="1" s="1"/>
  <c r="G281" i="2"/>
  <c r="F281" i="2"/>
  <c r="B281" i="2"/>
  <c r="H281" i="2" s="1"/>
  <c r="T281" i="1" s="1"/>
  <c r="G280" i="2"/>
  <c r="F280" i="2"/>
  <c r="B280" i="2"/>
  <c r="H280" i="2" s="1"/>
  <c r="T280" i="1" s="1"/>
  <c r="G279" i="2"/>
  <c r="F279" i="2"/>
  <c r="B279" i="2"/>
  <c r="H279" i="2" s="1"/>
  <c r="T279" i="1" s="1"/>
  <c r="G278" i="2"/>
  <c r="F278" i="2"/>
  <c r="B278" i="2"/>
  <c r="H278" i="2" s="1"/>
  <c r="T278" i="1" s="1"/>
  <c r="G277" i="2"/>
  <c r="F277" i="2"/>
  <c r="B277" i="2"/>
  <c r="H277" i="2" s="1"/>
  <c r="T277" i="1" s="1"/>
  <c r="G276" i="2"/>
  <c r="F276" i="2"/>
  <c r="B276" i="2"/>
  <c r="H276" i="2" s="1"/>
  <c r="T276" i="1" s="1"/>
  <c r="G275" i="2"/>
  <c r="F275" i="2"/>
  <c r="B275" i="2"/>
  <c r="H275" i="2" s="1"/>
  <c r="T275" i="1" s="1"/>
  <c r="G274" i="2"/>
  <c r="F274" i="2"/>
  <c r="B274" i="2"/>
  <c r="H274" i="2" s="1"/>
  <c r="T274" i="1" s="1"/>
  <c r="G273" i="2"/>
  <c r="F273" i="2"/>
  <c r="B273" i="2"/>
  <c r="H273" i="2" s="1"/>
  <c r="T273" i="1" s="1"/>
  <c r="G272" i="2"/>
  <c r="F272" i="2"/>
  <c r="B272" i="2"/>
  <c r="H272" i="2" s="1"/>
  <c r="T272" i="1" s="1"/>
  <c r="G271" i="2"/>
  <c r="F271" i="2"/>
  <c r="B271" i="2"/>
  <c r="H271" i="2" s="1"/>
  <c r="T271" i="1" s="1"/>
  <c r="G270" i="2"/>
  <c r="F270" i="2"/>
  <c r="B270" i="2"/>
  <c r="H270" i="2" s="1"/>
  <c r="T270" i="1" s="1"/>
  <c r="G269" i="2"/>
  <c r="F269" i="2"/>
  <c r="B269" i="2"/>
  <c r="H269" i="2" s="1"/>
  <c r="T269" i="1" s="1"/>
  <c r="G268" i="2"/>
  <c r="F268" i="2"/>
  <c r="B268" i="2"/>
  <c r="H268" i="2" s="1"/>
  <c r="T268" i="1" s="1"/>
  <c r="G267" i="2"/>
  <c r="F267" i="2"/>
  <c r="B267" i="2"/>
  <c r="H267" i="2" s="1"/>
  <c r="T267" i="1" s="1"/>
  <c r="G266" i="2"/>
  <c r="F266" i="2"/>
  <c r="B266" i="2"/>
  <c r="H266" i="2" s="1"/>
  <c r="T266" i="1" s="1"/>
  <c r="G265" i="2"/>
  <c r="F265" i="2"/>
  <c r="B265" i="2"/>
  <c r="H265" i="2" s="1"/>
  <c r="T265" i="1" s="1"/>
  <c r="G264" i="2"/>
  <c r="F264" i="2"/>
  <c r="B264" i="2"/>
  <c r="H264" i="2" s="1"/>
  <c r="T264" i="1" s="1"/>
  <c r="G263" i="2"/>
  <c r="F263" i="2"/>
  <c r="B263" i="2"/>
  <c r="H263" i="2" s="1"/>
  <c r="T263" i="1" s="1"/>
  <c r="G262" i="2"/>
  <c r="F262" i="2"/>
  <c r="B262" i="2"/>
  <c r="H262" i="2" s="1"/>
  <c r="T262" i="1" s="1"/>
  <c r="G261" i="2"/>
  <c r="F261" i="2"/>
  <c r="B261" i="2"/>
  <c r="H261" i="2" s="1"/>
  <c r="T261" i="1" s="1"/>
  <c r="G260" i="2"/>
  <c r="F260" i="2"/>
  <c r="B260" i="2"/>
  <c r="H260" i="2" s="1"/>
  <c r="T260" i="1" s="1"/>
  <c r="G259" i="2"/>
  <c r="F259" i="2"/>
  <c r="B259" i="2"/>
  <c r="H259" i="2" s="1"/>
  <c r="T259" i="1" s="1"/>
  <c r="G258" i="2"/>
  <c r="F258" i="2"/>
  <c r="B258" i="2"/>
  <c r="H258" i="2" s="1"/>
  <c r="T258" i="1" s="1"/>
  <c r="G257" i="2"/>
  <c r="F257" i="2"/>
  <c r="B257" i="2"/>
  <c r="H257" i="2" s="1"/>
  <c r="T257" i="1" s="1"/>
  <c r="G256" i="2"/>
  <c r="F256" i="2"/>
  <c r="B256" i="2"/>
  <c r="H256" i="2" s="1"/>
  <c r="T256" i="1" s="1"/>
  <c r="G255" i="2"/>
  <c r="F255" i="2"/>
  <c r="B255" i="2"/>
  <c r="H255" i="2" s="1"/>
  <c r="T255" i="1" s="1"/>
  <c r="G254" i="2"/>
  <c r="F254" i="2"/>
  <c r="B254" i="2"/>
  <c r="H254" i="2" s="1"/>
  <c r="T254" i="1" s="1"/>
  <c r="G253" i="2"/>
  <c r="F253" i="2"/>
  <c r="B253" i="2"/>
  <c r="H253" i="2" s="1"/>
  <c r="T253" i="1" s="1"/>
  <c r="G252" i="2"/>
  <c r="F252" i="2"/>
  <c r="B252" i="2"/>
  <c r="H252" i="2" s="1"/>
  <c r="T252" i="1" s="1"/>
  <c r="G251" i="2"/>
  <c r="F251" i="2"/>
  <c r="B251" i="2"/>
  <c r="H251" i="2" s="1"/>
  <c r="T251" i="1" s="1"/>
  <c r="G250" i="2"/>
  <c r="F250" i="2"/>
  <c r="B250" i="2"/>
  <c r="H250" i="2" s="1"/>
  <c r="T250" i="1" s="1"/>
  <c r="G249" i="2"/>
  <c r="F249" i="2"/>
  <c r="B249" i="2"/>
  <c r="H249" i="2" s="1"/>
  <c r="T249" i="1" s="1"/>
  <c r="G248" i="2"/>
  <c r="F248" i="2"/>
  <c r="B248" i="2"/>
  <c r="H248" i="2" s="1"/>
  <c r="T248" i="1" s="1"/>
  <c r="G247" i="2"/>
  <c r="F247" i="2"/>
  <c r="B247" i="2"/>
  <c r="H247" i="2" s="1"/>
  <c r="T247" i="1" s="1"/>
  <c r="G246" i="2"/>
  <c r="F246" i="2"/>
  <c r="B246" i="2"/>
  <c r="H246" i="2" s="1"/>
  <c r="T246" i="1" s="1"/>
  <c r="G245" i="2"/>
  <c r="F245" i="2"/>
  <c r="B245" i="2"/>
  <c r="H245" i="2" s="1"/>
  <c r="T245" i="1" s="1"/>
  <c r="G244" i="2"/>
  <c r="F244" i="2"/>
  <c r="B244" i="2"/>
  <c r="H244" i="2" s="1"/>
  <c r="T244" i="1" s="1"/>
  <c r="G243" i="2"/>
  <c r="F243" i="2"/>
  <c r="B243" i="2"/>
  <c r="H243" i="2" s="1"/>
  <c r="T243" i="1" s="1"/>
  <c r="G242" i="2"/>
  <c r="F242" i="2"/>
  <c r="B242" i="2"/>
  <c r="H242" i="2" s="1"/>
  <c r="T242" i="1" s="1"/>
  <c r="G241" i="2"/>
  <c r="F241" i="2"/>
  <c r="B241" i="2"/>
  <c r="H241" i="2" s="1"/>
  <c r="T241" i="1" s="1"/>
  <c r="G240" i="2"/>
  <c r="F240" i="2"/>
  <c r="B240" i="2"/>
  <c r="H240" i="2" s="1"/>
  <c r="T240" i="1" s="1"/>
  <c r="G239" i="2"/>
  <c r="F239" i="2"/>
  <c r="B239" i="2"/>
  <c r="H239" i="2" s="1"/>
  <c r="T239" i="1" s="1"/>
  <c r="G238" i="2"/>
  <c r="F238" i="2"/>
  <c r="B238" i="2"/>
  <c r="H238" i="2" s="1"/>
  <c r="T238" i="1" s="1"/>
  <c r="G237" i="2"/>
  <c r="F237" i="2"/>
  <c r="B237" i="2"/>
  <c r="H237" i="2" s="1"/>
  <c r="T237" i="1" s="1"/>
  <c r="G236" i="2"/>
  <c r="F236" i="2"/>
  <c r="B236" i="2"/>
  <c r="H236" i="2" s="1"/>
  <c r="T236" i="1" s="1"/>
  <c r="G235" i="2"/>
  <c r="F235" i="2"/>
  <c r="B235" i="2"/>
  <c r="H235" i="2" s="1"/>
  <c r="T235" i="1" s="1"/>
  <c r="G234" i="2"/>
  <c r="F234" i="2"/>
  <c r="B234" i="2"/>
  <c r="H234" i="2" s="1"/>
  <c r="T234" i="1" s="1"/>
  <c r="G233" i="2"/>
  <c r="F233" i="2"/>
  <c r="B233" i="2"/>
  <c r="H233" i="2" s="1"/>
  <c r="T233" i="1" s="1"/>
  <c r="G232" i="2"/>
  <c r="F232" i="2"/>
  <c r="B232" i="2"/>
  <c r="H232" i="2" s="1"/>
  <c r="T232" i="1" s="1"/>
  <c r="G231" i="2"/>
  <c r="F231" i="2"/>
  <c r="B231" i="2"/>
  <c r="H231" i="2" s="1"/>
  <c r="T231" i="1" s="1"/>
  <c r="G230" i="2"/>
  <c r="F230" i="2"/>
  <c r="B230" i="2"/>
  <c r="H230" i="2" s="1"/>
  <c r="T230" i="1" s="1"/>
  <c r="G229" i="2"/>
  <c r="F229" i="2"/>
  <c r="B229" i="2"/>
  <c r="H229" i="2" s="1"/>
  <c r="T229" i="1" s="1"/>
  <c r="G228" i="2"/>
  <c r="F228" i="2"/>
  <c r="B228" i="2"/>
  <c r="H228" i="2" s="1"/>
  <c r="T228" i="1" s="1"/>
  <c r="G227" i="2"/>
  <c r="F227" i="2"/>
  <c r="B227" i="2"/>
  <c r="H227" i="2" s="1"/>
  <c r="T227" i="1" s="1"/>
  <c r="G226" i="2"/>
  <c r="F226" i="2"/>
  <c r="B226" i="2"/>
  <c r="H226" i="2" s="1"/>
  <c r="T226" i="1" s="1"/>
  <c r="G225" i="2"/>
  <c r="F225" i="2"/>
  <c r="B225" i="2"/>
  <c r="H225" i="2" s="1"/>
  <c r="T225" i="1" s="1"/>
  <c r="G224" i="2"/>
  <c r="F224" i="2"/>
  <c r="B224" i="2"/>
  <c r="H224" i="2" s="1"/>
  <c r="T224" i="1" s="1"/>
  <c r="G223" i="2"/>
  <c r="F223" i="2"/>
  <c r="B223" i="2"/>
  <c r="H223" i="2" s="1"/>
  <c r="T223" i="1" s="1"/>
  <c r="G222" i="2"/>
  <c r="F222" i="2"/>
  <c r="B222" i="2"/>
  <c r="H222" i="2" s="1"/>
  <c r="T222" i="1" s="1"/>
  <c r="G221" i="2"/>
  <c r="F221" i="2"/>
  <c r="B221" i="2"/>
  <c r="H221" i="2" s="1"/>
  <c r="T221" i="1" s="1"/>
  <c r="G220" i="2"/>
  <c r="F220" i="2"/>
  <c r="B220" i="2"/>
  <c r="H220" i="2" s="1"/>
  <c r="T220" i="1" s="1"/>
  <c r="G219" i="2"/>
  <c r="F219" i="2"/>
  <c r="B219" i="2"/>
  <c r="H219" i="2" s="1"/>
  <c r="T219" i="1" s="1"/>
  <c r="G218" i="2"/>
  <c r="F218" i="2"/>
  <c r="B218" i="2"/>
  <c r="H218" i="2" s="1"/>
  <c r="T218" i="1" s="1"/>
  <c r="G217" i="2"/>
  <c r="F217" i="2"/>
  <c r="B217" i="2"/>
  <c r="H217" i="2" s="1"/>
  <c r="T217" i="1" s="1"/>
  <c r="G216" i="2"/>
  <c r="F216" i="2"/>
  <c r="B216" i="2"/>
  <c r="H216" i="2" s="1"/>
  <c r="T216" i="1" s="1"/>
  <c r="G215" i="2"/>
  <c r="F215" i="2"/>
  <c r="B215" i="2"/>
  <c r="H215" i="2" s="1"/>
  <c r="T215" i="1" s="1"/>
  <c r="G214" i="2"/>
  <c r="F214" i="2"/>
  <c r="B214" i="2"/>
  <c r="H214" i="2" s="1"/>
  <c r="T214" i="1" s="1"/>
  <c r="G213" i="2"/>
  <c r="F213" i="2"/>
  <c r="B213" i="2"/>
  <c r="H213" i="2" s="1"/>
  <c r="T213" i="1" s="1"/>
  <c r="G212" i="2"/>
  <c r="F212" i="2"/>
  <c r="B212" i="2"/>
  <c r="H212" i="2" s="1"/>
  <c r="T212" i="1" s="1"/>
  <c r="G211" i="2"/>
  <c r="F211" i="2"/>
  <c r="B211" i="2"/>
  <c r="H211" i="2" s="1"/>
  <c r="T211" i="1" s="1"/>
  <c r="G210" i="2"/>
  <c r="F210" i="2"/>
  <c r="B210" i="2"/>
  <c r="H210" i="2" s="1"/>
  <c r="T210" i="1" s="1"/>
  <c r="G209" i="2"/>
  <c r="F209" i="2"/>
  <c r="B209" i="2"/>
  <c r="H209" i="2" s="1"/>
  <c r="T209" i="1" s="1"/>
  <c r="G208" i="2"/>
  <c r="F208" i="2"/>
  <c r="B208" i="2"/>
  <c r="H208" i="2" s="1"/>
  <c r="T208" i="1" s="1"/>
  <c r="G207" i="2"/>
  <c r="F207" i="2"/>
  <c r="B207" i="2"/>
  <c r="H207" i="2" s="1"/>
  <c r="T207" i="1" s="1"/>
  <c r="G206" i="2"/>
  <c r="F206" i="2"/>
  <c r="B206" i="2"/>
  <c r="H206" i="2" s="1"/>
  <c r="T206" i="1" s="1"/>
  <c r="G205" i="2"/>
  <c r="F205" i="2"/>
  <c r="B205" i="2"/>
  <c r="H205" i="2" s="1"/>
  <c r="T205" i="1" s="1"/>
  <c r="G204" i="2"/>
  <c r="F204" i="2"/>
  <c r="B204" i="2"/>
  <c r="H204" i="2" s="1"/>
  <c r="T204" i="1" s="1"/>
  <c r="G203" i="2"/>
  <c r="F203" i="2"/>
  <c r="B203" i="2"/>
  <c r="H203" i="2" s="1"/>
  <c r="T203" i="1" s="1"/>
  <c r="G202" i="2"/>
  <c r="F202" i="2"/>
  <c r="B202" i="2"/>
  <c r="H202" i="2" s="1"/>
  <c r="T202" i="1" s="1"/>
  <c r="G201" i="2"/>
  <c r="F201" i="2"/>
  <c r="B201" i="2"/>
  <c r="H201" i="2" s="1"/>
  <c r="T201" i="1" s="1"/>
  <c r="G200" i="2"/>
  <c r="F200" i="2"/>
  <c r="B200" i="2"/>
  <c r="H200" i="2" s="1"/>
  <c r="T200" i="1" s="1"/>
  <c r="G199" i="2"/>
  <c r="F199" i="2"/>
  <c r="B199" i="2"/>
  <c r="H199" i="2" s="1"/>
  <c r="T199" i="1" s="1"/>
  <c r="G198" i="2"/>
  <c r="F198" i="2"/>
  <c r="B198" i="2"/>
  <c r="H198" i="2" s="1"/>
  <c r="T198" i="1" s="1"/>
  <c r="G197" i="2"/>
  <c r="F197" i="2"/>
  <c r="B197" i="2"/>
  <c r="H197" i="2" s="1"/>
  <c r="T197" i="1" s="1"/>
  <c r="G196" i="2"/>
  <c r="F196" i="2"/>
  <c r="B196" i="2"/>
  <c r="H196" i="2" s="1"/>
  <c r="T196" i="1" s="1"/>
  <c r="G195" i="2"/>
  <c r="F195" i="2"/>
  <c r="B195" i="2"/>
  <c r="H195" i="2" s="1"/>
  <c r="T195" i="1" s="1"/>
  <c r="G194" i="2"/>
  <c r="F194" i="2"/>
  <c r="B194" i="2"/>
  <c r="H194" i="2" s="1"/>
  <c r="T194" i="1" s="1"/>
  <c r="G193" i="2"/>
  <c r="F193" i="2"/>
  <c r="B193" i="2"/>
  <c r="H193" i="2" s="1"/>
  <c r="T193" i="1" s="1"/>
  <c r="G192" i="2"/>
  <c r="F192" i="2"/>
  <c r="B192" i="2"/>
  <c r="H192" i="2" s="1"/>
  <c r="T192" i="1" s="1"/>
  <c r="G191" i="2"/>
  <c r="F191" i="2"/>
  <c r="B191" i="2"/>
  <c r="H191" i="2" s="1"/>
  <c r="T191" i="1" s="1"/>
  <c r="G190" i="2"/>
  <c r="F190" i="2"/>
  <c r="B190" i="2"/>
  <c r="H190" i="2" s="1"/>
  <c r="T190" i="1" s="1"/>
  <c r="G189" i="2"/>
  <c r="F189" i="2"/>
  <c r="B189" i="2"/>
  <c r="H189" i="2" s="1"/>
  <c r="T189" i="1" s="1"/>
  <c r="G188" i="2"/>
  <c r="F188" i="2"/>
  <c r="B188" i="2"/>
  <c r="H188" i="2" s="1"/>
  <c r="T188" i="1" s="1"/>
  <c r="G187" i="2"/>
  <c r="F187" i="2"/>
  <c r="B187" i="2"/>
  <c r="H187" i="2" s="1"/>
  <c r="T187" i="1" s="1"/>
  <c r="G186" i="2"/>
  <c r="F186" i="2"/>
  <c r="B186" i="2"/>
  <c r="H186" i="2" s="1"/>
  <c r="T186" i="1" s="1"/>
  <c r="G185" i="2"/>
  <c r="F185" i="2"/>
  <c r="B185" i="2"/>
  <c r="H185" i="2" s="1"/>
  <c r="T185" i="1" s="1"/>
  <c r="G184" i="2"/>
  <c r="F184" i="2"/>
  <c r="B184" i="2"/>
  <c r="H184" i="2" s="1"/>
  <c r="T184" i="1" s="1"/>
  <c r="G183" i="2"/>
  <c r="F183" i="2"/>
  <c r="B183" i="2"/>
  <c r="H183" i="2" s="1"/>
  <c r="T183" i="1" s="1"/>
  <c r="G182" i="2"/>
  <c r="F182" i="2"/>
  <c r="B182" i="2"/>
  <c r="H182" i="2" s="1"/>
  <c r="T182" i="1" s="1"/>
  <c r="G181" i="2"/>
  <c r="F181" i="2"/>
  <c r="B181" i="2"/>
  <c r="H181" i="2" s="1"/>
  <c r="T181" i="1" s="1"/>
  <c r="G180" i="2"/>
  <c r="F180" i="2"/>
  <c r="B180" i="2"/>
  <c r="H180" i="2" s="1"/>
  <c r="T180" i="1" s="1"/>
  <c r="G179" i="2"/>
  <c r="F179" i="2"/>
  <c r="B179" i="2"/>
  <c r="H179" i="2" s="1"/>
  <c r="T179" i="1" s="1"/>
  <c r="G178" i="2"/>
  <c r="F178" i="2"/>
  <c r="B178" i="2"/>
  <c r="H178" i="2" s="1"/>
  <c r="T178" i="1" s="1"/>
  <c r="G177" i="2"/>
  <c r="F177" i="2"/>
  <c r="B177" i="2"/>
  <c r="H177" i="2" s="1"/>
  <c r="T177" i="1" s="1"/>
  <c r="G176" i="2"/>
  <c r="F176" i="2"/>
  <c r="B176" i="2"/>
  <c r="H176" i="2" s="1"/>
  <c r="T176" i="1" s="1"/>
  <c r="G175" i="2"/>
  <c r="F175" i="2"/>
  <c r="B175" i="2"/>
  <c r="H175" i="2" s="1"/>
  <c r="T175" i="1" s="1"/>
  <c r="G174" i="2"/>
  <c r="F174" i="2"/>
  <c r="B174" i="2"/>
  <c r="H174" i="2" s="1"/>
  <c r="T174" i="1" s="1"/>
  <c r="G173" i="2"/>
  <c r="F173" i="2"/>
  <c r="B173" i="2"/>
  <c r="H173" i="2" s="1"/>
  <c r="T173" i="1" s="1"/>
  <c r="G172" i="2"/>
  <c r="F172" i="2"/>
  <c r="B172" i="2"/>
  <c r="H172" i="2" s="1"/>
  <c r="T172" i="1" s="1"/>
  <c r="G171" i="2"/>
  <c r="F171" i="2"/>
  <c r="B171" i="2"/>
  <c r="H171" i="2" s="1"/>
  <c r="T171" i="1" s="1"/>
  <c r="G170" i="2"/>
  <c r="F170" i="2"/>
  <c r="B170" i="2"/>
  <c r="H170" i="2" s="1"/>
  <c r="T170" i="1" s="1"/>
  <c r="G169" i="2"/>
  <c r="F169" i="2"/>
  <c r="B169" i="2"/>
  <c r="H169" i="2" s="1"/>
  <c r="T169" i="1" s="1"/>
  <c r="G168" i="2"/>
  <c r="F168" i="2"/>
  <c r="B168" i="2"/>
  <c r="H168" i="2" s="1"/>
  <c r="T168" i="1" s="1"/>
  <c r="G167" i="2"/>
  <c r="F167" i="2"/>
  <c r="B167" i="2"/>
  <c r="H167" i="2" s="1"/>
  <c r="T167" i="1" s="1"/>
  <c r="G166" i="2"/>
  <c r="F166" i="2"/>
  <c r="B166" i="2"/>
  <c r="H166" i="2" s="1"/>
  <c r="T166" i="1" s="1"/>
  <c r="G165" i="2"/>
  <c r="F165" i="2"/>
  <c r="B165" i="2"/>
  <c r="H165" i="2" s="1"/>
  <c r="T165" i="1" s="1"/>
  <c r="G164" i="2"/>
  <c r="F164" i="2"/>
  <c r="B164" i="2"/>
  <c r="H164" i="2" s="1"/>
  <c r="T164" i="1" s="1"/>
  <c r="G163" i="2"/>
  <c r="F163" i="2"/>
  <c r="B163" i="2"/>
  <c r="H163" i="2" s="1"/>
  <c r="T163" i="1" s="1"/>
  <c r="G162" i="2"/>
  <c r="F162" i="2"/>
  <c r="B162" i="2"/>
  <c r="H162" i="2" s="1"/>
  <c r="T162" i="1" s="1"/>
  <c r="G161" i="2"/>
  <c r="F161" i="2"/>
  <c r="B161" i="2"/>
  <c r="H161" i="2" s="1"/>
  <c r="T161" i="1" s="1"/>
  <c r="G160" i="2"/>
  <c r="F160" i="2"/>
  <c r="B160" i="2"/>
  <c r="H160" i="2" s="1"/>
  <c r="T160" i="1" s="1"/>
  <c r="G159" i="2"/>
  <c r="F159" i="2"/>
  <c r="B159" i="2"/>
  <c r="H159" i="2" s="1"/>
  <c r="T159" i="1" s="1"/>
  <c r="G158" i="2"/>
  <c r="F158" i="2"/>
  <c r="B158" i="2"/>
  <c r="H158" i="2" s="1"/>
  <c r="T158" i="1" s="1"/>
  <c r="G157" i="2"/>
  <c r="F157" i="2"/>
  <c r="B157" i="2"/>
  <c r="H157" i="2" s="1"/>
  <c r="T157" i="1" s="1"/>
  <c r="G156" i="2"/>
  <c r="F156" i="2"/>
  <c r="B156" i="2"/>
  <c r="H156" i="2" s="1"/>
  <c r="T156" i="1" s="1"/>
  <c r="G155" i="2"/>
  <c r="F155" i="2"/>
  <c r="B155" i="2"/>
  <c r="H155" i="2" s="1"/>
  <c r="T155" i="1" s="1"/>
  <c r="G154" i="2"/>
  <c r="F154" i="2"/>
  <c r="B154" i="2"/>
  <c r="H154" i="2" s="1"/>
  <c r="T154" i="1" s="1"/>
  <c r="G153" i="2"/>
  <c r="F153" i="2"/>
  <c r="B153" i="2"/>
  <c r="H153" i="2" s="1"/>
  <c r="T153" i="1" s="1"/>
  <c r="G152" i="2"/>
  <c r="F152" i="2"/>
  <c r="B152" i="2"/>
  <c r="H152" i="2" s="1"/>
  <c r="T152" i="1" s="1"/>
  <c r="G151" i="2"/>
  <c r="F151" i="2"/>
  <c r="B151" i="2"/>
  <c r="H151" i="2" s="1"/>
  <c r="T151" i="1" s="1"/>
  <c r="G150" i="2"/>
  <c r="F150" i="2"/>
  <c r="B150" i="2"/>
  <c r="H150" i="2" s="1"/>
  <c r="T150" i="1" s="1"/>
  <c r="G149" i="2"/>
  <c r="F149" i="2"/>
  <c r="B149" i="2"/>
  <c r="H149" i="2" s="1"/>
  <c r="T149" i="1" s="1"/>
  <c r="G148" i="2"/>
  <c r="F148" i="2"/>
  <c r="B148" i="2"/>
  <c r="H148" i="2" s="1"/>
  <c r="T148" i="1" s="1"/>
  <c r="G147" i="2"/>
  <c r="F147" i="2"/>
  <c r="B147" i="2"/>
  <c r="H147" i="2" s="1"/>
  <c r="T147" i="1" s="1"/>
  <c r="G146" i="2"/>
  <c r="F146" i="2"/>
  <c r="B146" i="2"/>
  <c r="H146" i="2" s="1"/>
  <c r="T146" i="1" s="1"/>
  <c r="G145" i="2"/>
  <c r="F145" i="2"/>
  <c r="B145" i="2"/>
  <c r="H145" i="2" s="1"/>
  <c r="T145" i="1" s="1"/>
  <c r="G144" i="2"/>
  <c r="F144" i="2"/>
  <c r="B144" i="2"/>
  <c r="H144" i="2" s="1"/>
  <c r="T144" i="1" s="1"/>
  <c r="G143" i="2"/>
  <c r="F143" i="2"/>
  <c r="B143" i="2"/>
  <c r="H143" i="2" s="1"/>
  <c r="T143" i="1" s="1"/>
  <c r="G142" i="2"/>
  <c r="F142" i="2"/>
  <c r="B142" i="2"/>
  <c r="H142" i="2" s="1"/>
  <c r="T142" i="1" s="1"/>
  <c r="G141" i="2"/>
  <c r="F141" i="2"/>
  <c r="B141" i="2"/>
  <c r="H141" i="2" s="1"/>
  <c r="T141" i="1" s="1"/>
  <c r="G140" i="2"/>
  <c r="F140" i="2"/>
  <c r="B140" i="2"/>
  <c r="H140" i="2" s="1"/>
  <c r="T140" i="1" s="1"/>
  <c r="G139" i="2"/>
  <c r="F139" i="2"/>
  <c r="B139" i="2"/>
  <c r="H139" i="2" s="1"/>
  <c r="T139" i="1" s="1"/>
  <c r="G138" i="2"/>
  <c r="F138" i="2"/>
  <c r="B138" i="2"/>
  <c r="H138" i="2" s="1"/>
  <c r="T138" i="1" s="1"/>
  <c r="G137" i="2"/>
  <c r="F137" i="2"/>
  <c r="B137" i="2"/>
  <c r="H137" i="2" s="1"/>
  <c r="T137" i="1" s="1"/>
  <c r="G136" i="2"/>
  <c r="F136" i="2"/>
  <c r="B136" i="2"/>
  <c r="H136" i="2" s="1"/>
  <c r="T136" i="1" s="1"/>
  <c r="G135" i="2"/>
  <c r="F135" i="2"/>
  <c r="B135" i="2"/>
  <c r="H135" i="2" s="1"/>
  <c r="T135" i="1" s="1"/>
  <c r="G134" i="2"/>
  <c r="F134" i="2"/>
  <c r="B134" i="2"/>
  <c r="H134" i="2" s="1"/>
  <c r="T134" i="1" s="1"/>
  <c r="G133" i="2"/>
  <c r="F133" i="2"/>
  <c r="B133" i="2"/>
  <c r="H133" i="2" s="1"/>
  <c r="T133" i="1" s="1"/>
  <c r="G132" i="2"/>
  <c r="F132" i="2"/>
  <c r="B132" i="2"/>
  <c r="H132" i="2" s="1"/>
  <c r="T132" i="1" s="1"/>
  <c r="G131" i="2"/>
  <c r="F131" i="2"/>
  <c r="B131" i="2"/>
  <c r="H131" i="2" s="1"/>
  <c r="T131" i="1" s="1"/>
  <c r="G130" i="2"/>
  <c r="F130" i="2"/>
  <c r="B130" i="2"/>
  <c r="H130" i="2" s="1"/>
  <c r="T130" i="1" s="1"/>
  <c r="G129" i="2"/>
  <c r="F129" i="2"/>
  <c r="B129" i="2"/>
  <c r="H129" i="2" s="1"/>
  <c r="T129" i="1" s="1"/>
  <c r="G128" i="2"/>
  <c r="F128" i="2"/>
  <c r="B128" i="2"/>
  <c r="H128" i="2" s="1"/>
  <c r="T128" i="1" s="1"/>
  <c r="G127" i="2"/>
  <c r="F127" i="2"/>
  <c r="B127" i="2"/>
  <c r="H127" i="2" s="1"/>
  <c r="T127" i="1" s="1"/>
  <c r="G126" i="2"/>
  <c r="F126" i="2"/>
  <c r="B126" i="2"/>
  <c r="H126" i="2" s="1"/>
  <c r="T126" i="1" s="1"/>
  <c r="G125" i="2"/>
  <c r="F125" i="2"/>
  <c r="B125" i="2"/>
  <c r="H125" i="2" s="1"/>
  <c r="T125" i="1" s="1"/>
  <c r="G124" i="2"/>
  <c r="F124" i="2"/>
  <c r="B124" i="2"/>
  <c r="H124" i="2" s="1"/>
  <c r="T124" i="1" s="1"/>
  <c r="G123" i="2"/>
  <c r="F123" i="2"/>
  <c r="B123" i="2"/>
  <c r="H123" i="2" s="1"/>
  <c r="T123" i="1" s="1"/>
  <c r="G122" i="2"/>
  <c r="F122" i="2"/>
  <c r="B122" i="2"/>
  <c r="H122" i="2" s="1"/>
  <c r="T122" i="1" s="1"/>
  <c r="G121" i="2"/>
  <c r="F121" i="2"/>
  <c r="B121" i="2"/>
  <c r="H121" i="2" s="1"/>
  <c r="T121" i="1" s="1"/>
  <c r="G120" i="2"/>
  <c r="F120" i="2"/>
  <c r="B120" i="2"/>
  <c r="H120" i="2" s="1"/>
  <c r="T120" i="1" s="1"/>
  <c r="G119" i="2"/>
  <c r="F119" i="2"/>
  <c r="B119" i="2"/>
  <c r="H119" i="2" s="1"/>
  <c r="T119" i="1" s="1"/>
  <c r="G118" i="2"/>
  <c r="F118" i="2"/>
  <c r="B118" i="2"/>
  <c r="H118" i="2" s="1"/>
  <c r="T118" i="1" s="1"/>
  <c r="G117" i="2"/>
  <c r="F117" i="2"/>
  <c r="B117" i="2"/>
  <c r="H117" i="2" s="1"/>
  <c r="T117" i="1" s="1"/>
  <c r="G116" i="2"/>
  <c r="F116" i="2"/>
  <c r="B116" i="2"/>
  <c r="H116" i="2" s="1"/>
  <c r="T116" i="1" s="1"/>
  <c r="G115" i="2"/>
  <c r="F115" i="2"/>
  <c r="B115" i="2"/>
  <c r="H115" i="2" s="1"/>
  <c r="T115" i="1" s="1"/>
  <c r="G114" i="2"/>
  <c r="F114" i="2"/>
  <c r="B114" i="2"/>
  <c r="H114" i="2" s="1"/>
  <c r="T114" i="1" s="1"/>
  <c r="G113" i="2"/>
  <c r="F113" i="2"/>
  <c r="B113" i="2"/>
  <c r="H113" i="2" s="1"/>
  <c r="T113" i="1" s="1"/>
  <c r="G112" i="2"/>
  <c r="F112" i="2"/>
  <c r="B112" i="2"/>
  <c r="H112" i="2" s="1"/>
  <c r="T112" i="1" s="1"/>
  <c r="G111" i="2"/>
  <c r="F111" i="2"/>
  <c r="B111" i="2"/>
  <c r="H111" i="2" s="1"/>
  <c r="T111" i="1" s="1"/>
  <c r="G110" i="2"/>
  <c r="F110" i="2"/>
  <c r="B110" i="2"/>
  <c r="H110" i="2" s="1"/>
  <c r="T110" i="1" s="1"/>
  <c r="G109" i="2"/>
  <c r="F109" i="2"/>
  <c r="B109" i="2"/>
  <c r="H109" i="2" s="1"/>
  <c r="T109" i="1" s="1"/>
  <c r="G108" i="2"/>
  <c r="F108" i="2"/>
  <c r="B108" i="2"/>
  <c r="H108" i="2" s="1"/>
  <c r="T108" i="1" s="1"/>
  <c r="G107" i="2"/>
  <c r="F107" i="2"/>
  <c r="B107" i="2"/>
  <c r="H107" i="2" s="1"/>
  <c r="T107" i="1" s="1"/>
  <c r="G106" i="2"/>
  <c r="F106" i="2"/>
  <c r="B106" i="2"/>
  <c r="H106" i="2" s="1"/>
  <c r="T106" i="1" s="1"/>
  <c r="G105" i="2"/>
  <c r="F105" i="2"/>
  <c r="B105" i="2"/>
  <c r="H105" i="2" s="1"/>
  <c r="T105" i="1" s="1"/>
  <c r="G104" i="2"/>
  <c r="F104" i="2"/>
  <c r="B104" i="2"/>
  <c r="H104" i="2" s="1"/>
  <c r="T104" i="1" s="1"/>
  <c r="G103" i="2"/>
  <c r="F103" i="2"/>
  <c r="B103" i="2"/>
  <c r="H103" i="2" s="1"/>
  <c r="T103" i="1" s="1"/>
  <c r="G102" i="2"/>
  <c r="F102" i="2"/>
  <c r="B102" i="2"/>
  <c r="H102" i="2" s="1"/>
  <c r="T102" i="1" s="1"/>
  <c r="G101" i="2"/>
  <c r="F101" i="2"/>
  <c r="B101" i="2"/>
  <c r="H101" i="2" s="1"/>
  <c r="T101" i="1" s="1"/>
  <c r="G100" i="2"/>
  <c r="F100" i="2"/>
  <c r="B100" i="2"/>
  <c r="H100" i="2" s="1"/>
  <c r="T100" i="1" s="1"/>
  <c r="G99" i="2"/>
  <c r="F99" i="2"/>
  <c r="B99" i="2"/>
  <c r="H99" i="2" s="1"/>
  <c r="T99" i="1" s="1"/>
  <c r="G98" i="2"/>
  <c r="F98" i="2"/>
  <c r="B98" i="2"/>
  <c r="H98" i="2" s="1"/>
  <c r="T98" i="1" s="1"/>
  <c r="G97" i="2"/>
  <c r="F97" i="2"/>
  <c r="B97" i="2"/>
  <c r="H97" i="2" s="1"/>
  <c r="T97" i="1" s="1"/>
  <c r="G96" i="2"/>
  <c r="F96" i="2"/>
  <c r="B96" i="2"/>
  <c r="H96" i="2" s="1"/>
  <c r="T96" i="1" s="1"/>
  <c r="G95" i="2"/>
  <c r="F95" i="2"/>
  <c r="B95" i="2"/>
  <c r="H95" i="2" s="1"/>
  <c r="T95" i="1" s="1"/>
  <c r="G94" i="2"/>
  <c r="F94" i="2"/>
  <c r="B94" i="2"/>
  <c r="H94" i="2" s="1"/>
  <c r="T94" i="1" s="1"/>
  <c r="G93" i="2"/>
  <c r="F93" i="2"/>
  <c r="B93" i="2"/>
  <c r="H93" i="2" s="1"/>
  <c r="T93" i="1" s="1"/>
  <c r="G92" i="2"/>
  <c r="F92" i="2"/>
  <c r="B92" i="2"/>
  <c r="H92" i="2" s="1"/>
  <c r="T92" i="1" s="1"/>
  <c r="G91" i="2"/>
  <c r="F91" i="2"/>
  <c r="B91" i="2"/>
  <c r="H91" i="2" s="1"/>
  <c r="T91" i="1" s="1"/>
  <c r="G90" i="2"/>
  <c r="F90" i="2"/>
  <c r="B90" i="2"/>
  <c r="H90" i="2" s="1"/>
  <c r="T90" i="1" s="1"/>
  <c r="G89" i="2"/>
  <c r="F89" i="2"/>
  <c r="B89" i="2"/>
  <c r="H89" i="2" s="1"/>
  <c r="T89" i="1" s="1"/>
  <c r="G88" i="2"/>
  <c r="F88" i="2"/>
  <c r="B88" i="2"/>
  <c r="H88" i="2" s="1"/>
  <c r="T88" i="1" s="1"/>
  <c r="G87" i="2"/>
  <c r="F87" i="2"/>
  <c r="B87" i="2"/>
  <c r="H87" i="2" s="1"/>
  <c r="T87" i="1" s="1"/>
  <c r="G86" i="2"/>
  <c r="F86" i="2"/>
  <c r="B86" i="2"/>
  <c r="H86" i="2" s="1"/>
  <c r="T86" i="1" s="1"/>
  <c r="G85" i="2"/>
  <c r="F85" i="2"/>
  <c r="B85" i="2"/>
  <c r="H85" i="2" s="1"/>
  <c r="T85" i="1" s="1"/>
  <c r="G84" i="2"/>
  <c r="F84" i="2"/>
  <c r="B84" i="2"/>
  <c r="H84" i="2" s="1"/>
  <c r="T84" i="1" s="1"/>
  <c r="G83" i="2"/>
  <c r="F83" i="2"/>
  <c r="B83" i="2"/>
  <c r="H83" i="2" s="1"/>
  <c r="T83" i="1" s="1"/>
  <c r="G82" i="2"/>
  <c r="F82" i="2"/>
  <c r="B82" i="2"/>
  <c r="H82" i="2" s="1"/>
  <c r="T82" i="1" s="1"/>
  <c r="G81" i="2"/>
  <c r="F81" i="2"/>
  <c r="B81" i="2"/>
  <c r="H81" i="2" s="1"/>
  <c r="T81" i="1" s="1"/>
  <c r="G80" i="2"/>
  <c r="F80" i="2"/>
  <c r="B80" i="2"/>
  <c r="H80" i="2" s="1"/>
  <c r="T80" i="1" s="1"/>
  <c r="G79" i="2"/>
  <c r="F79" i="2"/>
  <c r="B79" i="2"/>
  <c r="H79" i="2" s="1"/>
  <c r="T79" i="1" s="1"/>
  <c r="G78" i="2"/>
  <c r="F78" i="2"/>
  <c r="B78" i="2"/>
  <c r="H78" i="2" s="1"/>
  <c r="T78" i="1" s="1"/>
  <c r="G77" i="2"/>
  <c r="F77" i="2"/>
  <c r="B77" i="2"/>
  <c r="H77" i="2" s="1"/>
  <c r="T77" i="1" s="1"/>
  <c r="G76" i="2"/>
  <c r="F76" i="2"/>
  <c r="B76" i="2"/>
  <c r="H76" i="2" s="1"/>
  <c r="T76" i="1" s="1"/>
  <c r="G75" i="2"/>
  <c r="F75" i="2"/>
  <c r="B75" i="2"/>
  <c r="H75" i="2" s="1"/>
  <c r="T75" i="1" s="1"/>
  <c r="G74" i="2"/>
  <c r="F74" i="2"/>
  <c r="B74" i="2"/>
  <c r="H74" i="2" s="1"/>
  <c r="T74" i="1" s="1"/>
  <c r="G73" i="2"/>
  <c r="F73" i="2"/>
  <c r="B73" i="2"/>
  <c r="H73" i="2" s="1"/>
  <c r="T73" i="1" s="1"/>
  <c r="G72" i="2"/>
  <c r="F72" i="2"/>
  <c r="B72" i="2"/>
  <c r="H72" i="2" s="1"/>
  <c r="T72" i="1" s="1"/>
  <c r="G71" i="2"/>
  <c r="F71" i="2"/>
  <c r="B71" i="2"/>
  <c r="H71" i="2" s="1"/>
  <c r="T71" i="1" s="1"/>
  <c r="G70" i="2"/>
  <c r="F70" i="2"/>
  <c r="B70" i="2"/>
  <c r="H70" i="2" s="1"/>
  <c r="T70" i="1" s="1"/>
  <c r="G69" i="2"/>
  <c r="F69" i="2"/>
  <c r="B69" i="2"/>
  <c r="H69" i="2" s="1"/>
  <c r="T69" i="1" s="1"/>
  <c r="G68" i="2"/>
  <c r="F68" i="2"/>
  <c r="B68" i="2"/>
  <c r="H68" i="2" s="1"/>
  <c r="T68" i="1" s="1"/>
  <c r="G67" i="2"/>
  <c r="F67" i="2"/>
  <c r="B67" i="2"/>
  <c r="H67" i="2" s="1"/>
  <c r="T67" i="1" s="1"/>
  <c r="G66" i="2"/>
  <c r="F66" i="2"/>
  <c r="B66" i="2"/>
  <c r="H66" i="2" s="1"/>
  <c r="T66" i="1" s="1"/>
  <c r="G65" i="2"/>
  <c r="F65" i="2"/>
  <c r="B65" i="2"/>
  <c r="H65" i="2" s="1"/>
  <c r="T65" i="1" s="1"/>
  <c r="G64" i="2"/>
  <c r="F64" i="2"/>
  <c r="B64" i="2"/>
  <c r="H64" i="2" s="1"/>
  <c r="T64" i="1" s="1"/>
  <c r="G63" i="2"/>
  <c r="F63" i="2"/>
  <c r="B63" i="2"/>
  <c r="H63" i="2" s="1"/>
  <c r="T63" i="1" s="1"/>
  <c r="G62" i="2"/>
  <c r="F62" i="2"/>
  <c r="B62" i="2"/>
  <c r="H62" i="2" s="1"/>
  <c r="T62" i="1" s="1"/>
  <c r="G61" i="2"/>
  <c r="F61" i="2"/>
  <c r="B61" i="2"/>
  <c r="H61" i="2" s="1"/>
  <c r="T61" i="1" s="1"/>
  <c r="G60" i="2"/>
  <c r="F60" i="2"/>
  <c r="B60" i="2"/>
  <c r="H60" i="2" s="1"/>
  <c r="T60" i="1" s="1"/>
  <c r="G59" i="2"/>
  <c r="F59" i="2"/>
  <c r="B59" i="2"/>
  <c r="H59" i="2" s="1"/>
  <c r="T59" i="1" s="1"/>
  <c r="G58" i="2"/>
  <c r="F58" i="2"/>
  <c r="B58" i="2"/>
  <c r="H58" i="2" s="1"/>
  <c r="T58" i="1" s="1"/>
  <c r="G57" i="2"/>
  <c r="F57" i="2"/>
  <c r="B57" i="2"/>
  <c r="H57" i="2" s="1"/>
  <c r="T57" i="1" s="1"/>
  <c r="G56" i="2"/>
  <c r="F56" i="2"/>
  <c r="B56" i="2"/>
  <c r="H56" i="2" s="1"/>
  <c r="T56" i="1" s="1"/>
  <c r="G55" i="2"/>
  <c r="F55" i="2"/>
  <c r="B55" i="2"/>
  <c r="H55" i="2" s="1"/>
  <c r="T55" i="1" s="1"/>
  <c r="G54" i="2"/>
  <c r="F54" i="2"/>
  <c r="B54" i="2"/>
  <c r="H54" i="2" s="1"/>
  <c r="T54" i="1" s="1"/>
  <c r="G53" i="2"/>
  <c r="F53" i="2"/>
  <c r="B53" i="2"/>
  <c r="H53" i="2" s="1"/>
  <c r="T53" i="1" s="1"/>
  <c r="G52" i="2"/>
  <c r="F52" i="2"/>
  <c r="B52" i="2"/>
  <c r="H52" i="2" s="1"/>
  <c r="T52" i="1" s="1"/>
  <c r="G51" i="2"/>
  <c r="F51" i="2"/>
  <c r="B51" i="2"/>
  <c r="H51" i="2" s="1"/>
  <c r="T51" i="1" s="1"/>
  <c r="G50" i="2"/>
  <c r="F50" i="2"/>
  <c r="B50" i="2"/>
  <c r="H50" i="2" s="1"/>
  <c r="T50" i="1" s="1"/>
  <c r="G49" i="2"/>
  <c r="F49" i="2"/>
  <c r="B49" i="2"/>
  <c r="H49" i="2" s="1"/>
  <c r="T49" i="1" s="1"/>
  <c r="G48" i="2"/>
  <c r="F48" i="2"/>
  <c r="B48" i="2"/>
  <c r="H48" i="2" s="1"/>
  <c r="T48" i="1" s="1"/>
  <c r="G47" i="2"/>
  <c r="F47" i="2"/>
  <c r="B47" i="2"/>
  <c r="H47" i="2" s="1"/>
  <c r="T47" i="1" s="1"/>
  <c r="G46" i="2"/>
  <c r="F46" i="2"/>
  <c r="B46" i="2"/>
  <c r="H46" i="2" s="1"/>
  <c r="T46" i="1" s="1"/>
  <c r="G45" i="2"/>
  <c r="F45" i="2"/>
  <c r="B45" i="2"/>
  <c r="H45" i="2" s="1"/>
  <c r="T45" i="1" s="1"/>
  <c r="G44" i="2"/>
  <c r="F44" i="2"/>
  <c r="B44" i="2"/>
  <c r="H44" i="2" s="1"/>
  <c r="T44" i="1" s="1"/>
  <c r="G43" i="2"/>
  <c r="F43" i="2"/>
  <c r="B43" i="2"/>
  <c r="H43" i="2" s="1"/>
  <c r="T43" i="1" s="1"/>
  <c r="G42" i="2"/>
  <c r="F42" i="2"/>
  <c r="B42" i="2"/>
  <c r="H42" i="2" s="1"/>
  <c r="T42" i="1" s="1"/>
  <c r="G41" i="2"/>
  <c r="F41" i="2"/>
  <c r="B41" i="2"/>
  <c r="H41" i="2" s="1"/>
  <c r="T41" i="1" s="1"/>
  <c r="G40" i="2"/>
  <c r="F40" i="2"/>
  <c r="B40" i="2"/>
  <c r="H40" i="2" s="1"/>
  <c r="T40" i="1" s="1"/>
  <c r="G39" i="2"/>
  <c r="F39" i="2"/>
  <c r="B39" i="2"/>
  <c r="H39" i="2" s="1"/>
  <c r="T39" i="1" s="1"/>
  <c r="G38" i="2"/>
  <c r="F38" i="2"/>
  <c r="B38" i="2"/>
  <c r="H38" i="2" s="1"/>
  <c r="T38" i="1" s="1"/>
  <c r="G37" i="2"/>
  <c r="F37" i="2"/>
  <c r="B37" i="2"/>
  <c r="H37" i="2" s="1"/>
  <c r="T37" i="1" s="1"/>
  <c r="G36" i="2"/>
  <c r="F36" i="2"/>
  <c r="B36" i="2"/>
  <c r="H36" i="2" s="1"/>
  <c r="T36" i="1" s="1"/>
  <c r="G35" i="2"/>
  <c r="F35" i="2"/>
  <c r="B35" i="2"/>
  <c r="H35" i="2" s="1"/>
  <c r="T35" i="1" s="1"/>
  <c r="G34" i="2"/>
  <c r="F34" i="2"/>
  <c r="B34" i="2"/>
  <c r="H34" i="2" s="1"/>
  <c r="T34" i="1" s="1"/>
  <c r="G33" i="2"/>
  <c r="F33" i="2"/>
  <c r="B33" i="2"/>
  <c r="H33" i="2" s="1"/>
  <c r="T33" i="1" s="1"/>
  <c r="G32" i="2"/>
  <c r="F32" i="2"/>
  <c r="B32" i="2"/>
  <c r="H32" i="2" s="1"/>
  <c r="T32" i="1" s="1"/>
  <c r="G31" i="2"/>
  <c r="F31" i="2"/>
  <c r="B31" i="2"/>
  <c r="H31" i="2" s="1"/>
  <c r="T31" i="1" s="1"/>
  <c r="G30" i="2"/>
  <c r="F30" i="2"/>
  <c r="B30" i="2"/>
  <c r="H30" i="2" s="1"/>
  <c r="T30" i="1" s="1"/>
  <c r="G29" i="2"/>
  <c r="F29" i="2"/>
  <c r="B29" i="2"/>
  <c r="H29" i="2" s="1"/>
  <c r="T29" i="1" s="1"/>
  <c r="G28" i="2"/>
  <c r="F28" i="2"/>
  <c r="B28" i="2"/>
  <c r="H28" i="2" s="1"/>
  <c r="T28" i="1" s="1"/>
  <c r="G27" i="2"/>
  <c r="F27" i="2"/>
  <c r="B27" i="2"/>
  <c r="H27" i="2" s="1"/>
  <c r="T27" i="1" s="1"/>
  <c r="G26" i="2"/>
  <c r="F26" i="2"/>
  <c r="B26" i="2"/>
  <c r="H26" i="2" s="1"/>
  <c r="T26" i="1" s="1"/>
  <c r="G25" i="2"/>
  <c r="F25" i="2"/>
  <c r="B25" i="2"/>
  <c r="H25" i="2" s="1"/>
  <c r="T25" i="1" s="1"/>
  <c r="G24" i="2"/>
  <c r="F24" i="2"/>
  <c r="B24" i="2"/>
  <c r="H24" i="2" s="1"/>
  <c r="T24" i="1" s="1"/>
  <c r="G23" i="2"/>
  <c r="F23" i="2"/>
  <c r="B23" i="2"/>
  <c r="H23" i="2" s="1"/>
  <c r="T23" i="1" s="1"/>
  <c r="G22" i="2"/>
  <c r="F22" i="2"/>
  <c r="B22" i="2"/>
  <c r="H22" i="2" s="1"/>
  <c r="T22" i="1" s="1"/>
  <c r="G21" i="2"/>
  <c r="F21" i="2"/>
  <c r="B21" i="2"/>
  <c r="H21" i="2" s="1"/>
  <c r="T21" i="1" s="1"/>
  <c r="G20" i="2"/>
  <c r="F20" i="2"/>
  <c r="B20" i="2"/>
  <c r="H20" i="2" s="1"/>
  <c r="T20" i="1" s="1"/>
  <c r="G19" i="2"/>
  <c r="F19" i="2"/>
  <c r="B19" i="2"/>
  <c r="H19" i="2" s="1"/>
  <c r="T19" i="1" s="1"/>
  <c r="G18" i="2"/>
  <c r="F18" i="2"/>
  <c r="B18" i="2"/>
  <c r="H18" i="2" s="1"/>
  <c r="T18" i="1" s="1"/>
  <c r="G17" i="2"/>
  <c r="F17" i="2"/>
  <c r="B17" i="2"/>
  <c r="H17" i="2" s="1"/>
  <c r="T17" i="1" s="1"/>
  <c r="G16" i="2"/>
  <c r="F16" i="2"/>
  <c r="B16" i="2"/>
  <c r="H16" i="2" s="1"/>
  <c r="T16" i="1" s="1"/>
  <c r="G15" i="2"/>
  <c r="F15" i="2"/>
  <c r="B15" i="2"/>
  <c r="H15" i="2" s="1"/>
  <c r="T15" i="1" s="1"/>
  <c r="G14" i="2"/>
  <c r="F14" i="2"/>
  <c r="B14" i="2"/>
  <c r="H14" i="2" s="1"/>
  <c r="T14" i="1" s="1"/>
  <c r="G13" i="2"/>
  <c r="F13" i="2"/>
  <c r="B13" i="2"/>
  <c r="H13" i="2" s="1"/>
  <c r="T13" i="1" s="1"/>
  <c r="G12" i="2"/>
  <c r="F12" i="2"/>
  <c r="B12" i="2"/>
  <c r="H12" i="2" s="1"/>
  <c r="T12" i="1" s="1"/>
  <c r="G11" i="2"/>
  <c r="F11" i="2"/>
  <c r="B11" i="2"/>
  <c r="H11" i="2" s="1"/>
  <c r="T11" i="1" s="1"/>
  <c r="G10" i="2"/>
  <c r="F10" i="2"/>
  <c r="B10" i="2"/>
  <c r="H10" i="2" s="1"/>
  <c r="T10" i="1" s="1"/>
  <c r="G9" i="2"/>
  <c r="F9" i="2"/>
  <c r="B9" i="2"/>
  <c r="H9" i="2" s="1"/>
  <c r="T9" i="1" s="1"/>
  <c r="G8" i="2"/>
  <c r="F8" i="2"/>
  <c r="B8" i="2"/>
  <c r="H8" i="2" s="1"/>
  <c r="T8" i="1" s="1"/>
  <c r="G7" i="2"/>
  <c r="F7" i="2"/>
  <c r="B7" i="2"/>
  <c r="H7" i="2" s="1"/>
  <c r="T7" i="1" s="1"/>
  <c r="G6" i="2"/>
  <c r="F6" i="2"/>
  <c r="B6" i="2"/>
  <c r="H6" i="2" s="1"/>
  <c r="T6" i="1" s="1"/>
  <c r="G5" i="2"/>
  <c r="F5" i="2"/>
  <c r="B5" i="2"/>
  <c r="H5" i="2" s="1"/>
  <c r="T5" i="1" s="1"/>
  <c r="G4" i="2"/>
  <c r="F4" i="2"/>
  <c r="B4" i="2"/>
  <c r="H4" i="2" s="1"/>
  <c r="T4" i="1" s="1"/>
  <c r="G3" i="2"/>
  <c r="F3" i="2"/>
  <c r="B3" i="2"/>
  <c r="H3" i="2" s="1"/>
  <c r="T3" i="1" s="1"/>
  <c r="G2" i="2"/>
  <c r="F2" i="2"/>
  <c r="B2" i="2"/>
  <c r="H2" i="2" s="1"/>
  <c r="T2" i="1" s="1"/>
</calcChain>
</file>

<file path=xl/sharedStrings.xml><?xml version="1.0" encoding="utf-8"?>
<sst xmlns="http://schemas.openxmlformats.org/spreadsheetml/2006/main" count="14417" uniqueCount="4304">
  <si>
    <t>ATCReg</t>
  </si>
  <si>
    <t>InspectorRegion</t>
  </si>
  <si>
    <t>Facno</t>
  </si>
  <si>
    <t>facName</t>
  </si>
  <si>
    <t>YearEstablished</t>
  </si>
  <si>
    <t>Method</t>
  </si>
  <si>
    <t>IsActive</t>
  </si>
  <si>
    <t>GramaNiladhariDivision</t>
  </si>
  <si>
    <t>Village</t>
  </si>
  <si>
    <t>ElevationHeight</t>
  </si>
  <si>
    <t>GreenTeaAvgQty</t>
  </si>
  <si>
    <t>FacAddress</t>
  </si>
  <si>
    <t>capacity</t>
  </si>
  <si>
    <t>Elvation</t>
  </si>
  <si>
    <t>subelevation</t>
  </si>
  <si>
    <t>AdminDistrict</t>
  </si>
  <si>
    <t>DSDivision</t>
  </si>
  <si>
    <t>Agrodiv</t>
  </si>
  <si>
    <t>ManagementType</t>
  </si>
  <si>
    <t>Location</t>
  </si>
  <si>
    <t>NUWARA ELIYA</t>
  </si>
  <si>
    <t>KOTHMALE</t>
  </si>
  <si>
    <t>MF0003</t>
  </si>
  <si>
    <t>OLIPHANT</t>
  </si>
  <si>
    <t>OTHER</t>
  </si>
  <si>
    <t>535N Kalapura/Shanthipura</t>
  </si>
  <si>
    <t>Shanthipura</t>
  </si>
  <si>
    <t xml:space="preserve">Nuwaraeliya </t>
  </si>
  <si>
    <t>NULL</t>
  </si>
  <si>
    <t>High</t>
  </si>
  <si>
    <t>WESTERN-HIGH</t>
  </si>
  <si>
    <t>Nuwara Eliya</t>
  </si>
  <si>
    <t>MANAGEMENT COMPANY</t>
  </si>
  <si>
    <t>THALAWAKELLE</t>
  </si>
  <si>
    <t>MF0004</t>
  </si>
  <si>
    <t>MATTAKELLE</t>
  </si>
  <si>
    <t>Talawakelle</t>
  </si>
  <si>
    <t>Mattakelle Estate, Lindula</t>
  </si>
  <si>
    <t>NANUOYA LINDULA TALAWAKELE</t>
  </si>
  <si>
    <t>MF0005</t>
  </si>
  <si>
    <t>STONY CLIFF GROUP</t>
  </si>
  <si>
    <t>Kotagala</t>
  </si>
  <si>
    <t>Stony cliff Group, Kotagala, Nuwara Eliya</t>
  </si>
  <si>
    <t>kothmale</t>
  </si>
  <si>
    <t>PATANA KOTAGALA</t>
  </si>
  <si>
    <t>GAMPOLA</t>
  </si>
  <si>
    <t>NAWALAPITIYA</t>
  </si>
  <si>
    <t>MF0006</t>
  </si>
  <si>
    <t>Nagastenne Refuse Tea Processing</t>
  </si>
  <si>
    <t>Seaporth</t>
  </si>
  <si>
    <t>Nagastenna Estate, Nawalapitiya</t>
  </si>
  <si>
    <t>Medium</t>
  </si>
  <si>
    <t>WESTERN-MEDIUM</t>
  </si>
  <si>
    <t>KANDY</t>
  </si>
  <si>
    <t>Pasbage Korale</t>
  </si>
  <si>
    <t>GAMPOLA NAWALAPITIYA DOLOSBAGE</t>
  </si>
  <si>
    <t>SLSPC/JEDB</t>
  </si>
  <si>
    <t>MF0007</t>
  </si>
  <si>
    <t>GALAMUDUNA</t>
  </si>
  <si>
    <t>Uda Rambukpitiya</t>
  </si>
  <si>
    <t>Dolosbage</t>
  </si>
  <si>
    <t>Galamuduna Estate, Dolosbage</t>
  </si>
  <si>
    <t>Ganga Ihala Korale</t>
  </si>
  <si>
    <t>MF0008</t>
  </si>
  <si>
    <t>Goorookoya</t>
  </si>
  <si>
    <t>Polwathura</t>
  </si>
  <si>
    <t>Pahala  Goorookoya</t>
  </si>
  <si>
    <t>Pahala Goorookoya,Nawalapitiya.</t>
  </si>
  <si>
    <t>Low</t>
  </si>
  <si>
    <t>LOW</t>
  </si>
  <si>
    <t>Kotmale</t>
  </si>
  <si>
    <t>PRIVATE</t>
  </si>
  <si>
    <t>MATARA</t>
  </si>
  <si>
    <t>DENIYAYA</t>
  </si>
  <si>
    <t>MF0009</t>
  </si>
  <si>
    <t>Enselwatte</t>
  </si>
  <si>
    <t>Kandilpana</t>
  </si>
  <si>
    <t>Ensalwatta, Deniyaya</t>
  </si>
  <si>
    <t>Kotapola</t>
  </si>
  <si>
    <t>MF0010</t>
  </si>
  <si>
    <t>KALUGOLLA</t>
  </si>
  <si>
    <t>ORTHODOX</t>
  </si>
  <si>
    <t>Dunukevila</t>
  </si>
  <si>
    <t>Pussellawa.</t>
  </si>
  <si>
    <t>Uda Palatha</t>
  </si>
  <si>
    <t>PUSSELLAWA HEWAHETA</t>
  </si>
  <si>
    <t>MF0011</t>
  </si>
  <si>
    <t>DIYAGAMA WEST</t>
  </si>
  <si>
    <t>Dayagama West</t>
  </si>
  <si>
    <t>Deyagama Bazar</t>
  </si>
  <si>
    <t>AGARAPATANA</t>
  </si>
  <si>
    <t>MF0012</t>
  </si>
  <si>
    <t>DIYAGAMA EAST</t>
  </si>
  <si>
    <t>Agarapatana</t>
  </si>
  <si>
    <t>Dayagama, Nuwara Eliya</t>
  </si>
  <si>
    <t>MF0013</t>
  </si>
  <si>
    <t>NEW PEACOCK GROUP</t>
  </si>
  <si>
    <t>Doragala</t>
  </si>
  <si>
    <t>Pussellawa</t>
  </si>
  <si>
    <t>New Peacock Estate, Pussellawa</t>
  </si>
  <si>
    <t>MF0014</t>
  </si>
  <si>
    <t>NILAMBA</t>
  </si>
  <si>
    <t>Nillamba</t>
  </si>
  <si>
    <t>Palledeltota</t>
  </si>
  <si>
    <t>Udahewaheta Estate, Galaha</t>
  </si>
  <si>
    <t>KANDY MATALE KURUNEGALA</t>
  </si>
  <si>
    <t>MF0015</t>
  </si>
  <si>
    <t>GREAT VELLEY</t>
  </si>
  <si>
    <t>Karagastenna</t>
  </si>
  <si>
    <t>Deltota.</t>
  </si>
  <si>
    <t>Pata Hewaheta</t>
  </si>
  <si>
    <t>MF0016</t>
  </si>
  <si>
    <t>Beverley</t>
  </si>
  <si>
    <t>Kiriwaldola</t>
  </si>
  <si>
    <t>Deniyaya</t>
  </si>
  <si>
    <t>Pitabeddara</t>
  </si>
  <si>
    <t>MF0019</t>
  </si>
  <si>
    <t>VELANA</t>
  </si>
  <si>
    <t>Vilanagama</t>
  </si>
  <si>
    <t>Valangama</t>
  </si>
  <si>
    <t>Velangama, Akurana</t>
  </si>
  <si>
    <t>Akurana</t>
  </si>
  <si>
    <t>MAWANELLA</t>
  </si>
  <si>
    <t>MF0020</t>
  </si>
  <si>
    <t>Kurugama</t>
  </si>
  <si>
    <t>Muruthalawa</t>
  </si>
  <si>
    <t>Kurugama Estate, MuruthalwaVia Kandy</t>
  </si>
  <si>
    <t>Yatinuwara</t>
  </si>
  <si>
    <t>KADUGANNAWA</t>
  </si>
  <si>
    <t>WALAPANE</t>
  </si>
  <si>
    <t>MF0021</t>
  </si>
  <si>
    <t>GORDON</t>
  </si>
  <si>
    <t>Delmar</t>
  </si>
  <si>
    <t>Udapussellawa</t>
  </si>
  <si>
    <t>UVA-HIGH</t>
  </si>
  <si>
    <t>Walapane</t>
  </si>
  <si>
    <t>UDAPUSSELLAWA HALGRANOYA</t>
  </si>
  <si>
    <t>MF0022</t>
  </si>
  <si>
    <t xml:space="preserve">Powysland </t>
  </si>
  <si>
    <t>DAYAGAMA</t>
  </si>
  <si>
    <t>Powysland Estate, Dayagama Via, Nuwara Eliya</t>
  </si>
  <si>
    <t>MF0024</t>
  </si>
  <si>
    <t>Bolagala</t>
  </si>
  <si>
    <t>Palkumbura</t>
  </si>
  <si>
    <t>Werellagama.</t>
  </si>
  <si>
    <t>Harispattuwa</t>
  </si>
  <si>
    <t>MATALE</t>
  </si>
  <si>
    <t>MF0025</t>
  </si>
  <si>
    <t>NEW RATHWATTE</t>
  </si>
  <si>
    <t>Hunuketawala</t>
  </si>
  <si>
    <t>Ratwatta</t>
  </si>
  <si>
    <t>Rathwatte Estate, Udathenna, Matale</t>
  </si>
  <si>
    <t>Ukuwela</t>
  </si>
  <si>
    <t>BANDARAWELA</t>
  </si>
  <si>
    <t>WELIMADA</t>
  </si>
  <si>
    <t>MF0029</t>
  </si>
  <si>
    <t>HUGOLAND</t>
  </si>
  <si>
    <t>Lunuwatte</t>
  </si>
  <si>
    <t>Hugoland Estate, Lunuwatte, Welimada</t>
  </si>
  <si>
    <t>UVA-MEDIUM</t>
  </si>
  <si>
    <t>BADULLA</t>
  </si>
  <si>
    <t>Uwa Paranagama</t>
  </si>
  <si>
    <t>RATNAPURA</t>
  </si>
  <si>
    <t>MF0030</t>
  </si>
  <si>
    <t xml:space="preserve">Noragalla </t>
  </si>
  <si>
    <t>POTHTHAKANDE</t>
  </si>
  <si>
    <t>Noragalla, Nivithigala</t>
  </si>
  <si>
    <t>Pelmadulla</t>
  </si>
  <si>
    <t>GINIGATHHENA</t>
  </si>
  <si>
    <t>MF0032</t>
  </si>
  <si>
    <t>BROWNLOW</t>
  </si>
  <si>
    <t>Maskeliya</t>
  </si>
  <si>
    <t>Brownlow Estate ,Maskeliya</t>
  </si>
  <si>
    <t>Ambagamuwa</t>
  </si>
  <si>
    <t>UPCOT MASKELIYAB8</t>
  </si>
  <si>
    <t>MF0033</t>
  </si>
  <si>
    <t>TROUP</t>
  </si>
  <si>
    <t>TROUP -475/A</t>
  </si>
  <si>
    <t>Troup Estate, Talawakelle</t>
  </si>
  <si>
    <t>Norwood</t>
  </si>
  <si>
    <t>MF0034</t>
  </si>
  <si>
    <t>STRATHSPEY</t>
  </si>
  <si>
    <t>UPCOT</t>
  </si>
  <si>
    <t>Strathspey Estate, Upcot</t>
  </si>
  <si>
    <t>HALI-ELLA</t>
  </si>
  <si>
    <t>MF0037</t>
  </si>
  <si>
    <t>GOWERAKELLE</t>
  </si>
  <si>
    <t>Hali-Ela</t>
  </si>
  <si>
    <t>DEMODARA HALIELLA BADULLA</t>
  </si>
  <si>
    <t>MF0039</t>
  </si>
  <si>
    <t>OHIYA</t>
  </si>
  <si>
    <t>Railway Station, Ohiya</t>
  </si>
  <si>
    <t>HAPUTALE</t>
  </si>
  <si>
    <t>PASSARA</t>
  </si>
  <si>
    <t>MF0041</t>
  </si>
  <si>
    <t>Debedde</t>
  </si>
  <si>
    <t>Pelagahatenna</t>
  </si>
  <si>
    <t>Pelgahatenna</t>
  </si>
  <si>
    <t>Ury EstatePassara</t>
  </si>
  <si>
    <t>Passara</t>
  </si>
  <si>
    <t>PASSARA LUNUGALLA</t>
  </si>
  <si>
    <t>MF0042</t>
  </si>
  <si>
    <t>HANTANE</t>
  </si>
  <si>
    <t>Ganga wata Korale</t>
  </si>
  <si>
    <t>NILAMBE HANTANE GALAHA</t>
  </si>
  <si>
    <t>MF0043</t>
  </si>
  <si>
    <t xml:space="preserve">ST. CLAIR </t>
  </si>
  <si>
    <t>Devon</t>
  </si>
  <si>
    <t>Ulapane</t>
  </si>
  <si>
    <t>St. Clair EstateThalawakelle.</t>
  </si>
  <si>
    <t>MF0044</t>
  </si>
  <si>
    <t xml:space="preserve">MAHANILU </t>
  </si>
  <si>
    <t>Mahanilu (320K)</t>
  </si>
  <si>
    <t>Mahanilu EstateUpcot</t>
  </si>
  <si>
    <t>MF0048</t>
  </si>
  <si>
    <t xml:space="preserve">Needwood </t>
  </si>
  <si>
    <t>Haldamulla</t>
  </si>
  <si>
    <t>Needwood Estate</t>
  </si>
  <si>
    <t>Needwood Estate,Haldummulla,Badulla.</t>
  </si>
  <si>
    <t>Haldummulla</t>
  </si>
  <si>
    <t>KOSLANDA HALDUMULLA</t>
  </si>
  <si>
    <t>MF0049</t>
  </si>
  <si>
    <t>Iddalgashinna</t>
  </si>
  <si>
    <t>Beragala</t>
  </si>
  <si>
    <t>Idalgashinna</t>
  </si>
  <si>
    <t>IddalgashinnaBandarawela</t>
  </si>
  <si>
    <t>MF0056</t>
  </si>
  <si>
    <t>HELLBODDE</t>
  </si>
  <si>
    <t>Katulithula</t>
  </si>
  <si>
    <t>Helbodde</t>
  </si>
  <si>
    <t>Hellbodde EstateKatukitula</t>
  </si>
  <si>
    <t>MF0061</t>
  </si>
  <si>
    <t>Handford</t>
  </si>
  <si>
    <t>Kalugalahena</t>
  </si>
  <si>
    <t>Handford EstateDeniyaya</t>
  </si>
  <si>
    <t>MF0062</t>
  </si>
  <si>
    <t xml:space="preserve">Kelaneiya Estates </t>
  </si>
  <si>
    <t>320/N,BROWNLOW</t>
  </si>
  <si>
    <t>Kelaneiya EstateMaskeliya</t>
  </si>
  <si>
    <t>MF0064</t>
  </si>
  <si>
    <t>Anninkande</t>
  </si>
  <si>
    <t>KALUGAHAHENA</t>
  </si>
  <si>
    <t>Viharahena</t>
  </si>
  <si>
    <t>Aninkanda EstateDeniyaya</t>
  </si>
  <si>
    <t>MF0066</t>
  </si>
  <si>
    <t>GOURAVILLA</t>
  </si>
  <si>
    <t>Gauravilla</t>
  </si>
  <si>
    <t>Gouravilla EstateUpcotMaskeliya</t>
  </si>
  <si>
    <t>MF0067</t>
  </si>
  <si>
    <t xml:space="preserve">LIDDESDALE </t>
  </si>
  <si>
    <t>Rathnayakapura</t>
  </si>
  <si>
    <t>Liddesdale GroupThe Standard Tea Co Of Ceylon Ltd,Clomessrs George Steuart and Co Ltd,PO Box 151,Colombo.</t>
  </si>
  <si>
    <t>MF0068</t>
  </si>
  <si>
    <t>GLENUGIE</t>
  </si>
  <si>
    <t>Ambagamuwa Korale</t>
  </si>
  <si>
    <t>MF0069</t>
  </si>
  <si>
    <t>KOTIYAGALLA</t>
  </si>
  <si>
    <t>Bogawanthalawa</t>
  </si>
  <si>
    <t>Kotiyagalla GroupBagawantalawa</t>
  </si>
  <si>
    <t>BOGAWANTALAWA</t>
  </si>
  <si>
    <t>MF0070</t>
  </si>
  <si>
    <t>HOONOOCOTUA</t>
  </si>
  <si>
    <t>KOTMALE</t>
  </si>
  <si>
    <t>MF0071</t>
  </si>
  <si>
    <t>WATTEGODDE</t>
  </si>
  <si>
    <t>Watagoda</t>
  </si>
  <si>
    <t>Wattegoda Estate</t>
  </si>
  <si>
    <t>MF0073</t>
  </si>
  <si>
    <t>ST.LEONARDS</t>
  </si>
  <si>
    <t>553E St. Leonards</t>
  </si>
  <si>
    <t>Leonards Groupragala, Halgranoya</t>
  </si>
  <si>
    <t>MF0074</t>
  </si>
  <si>
    <t>ESKDALE</t>
  </si>
  <si>
    <t>Kandapola</t>
  </si>
  <si>
    <t>Eskdale EstateUdupussellawa Plantation Ltd,Palm Garden,PO Box 08,Ratnapura.</t>
  </si>
  <si>
    <t>GALLE</t>
  </si>
  <si>
    <t>BADDEGAMA</t>
  </si>
  <si>
    <t>MF0076</t>
  </si>
  <si>
    <t>Devitura</t>
  </si>
  <si>
    <t>Parana Janapadaya</t>
  </si>
  <si>
    <t>Devithurai</t>
  </si>
  <si>
    <t>Deviturai EstateEthkandura Elpitiya</t>
  </si>
  <si>
    <t>Welivitiya Divitura</t>
  </si>
  <si>
    <t>MF0077</t>
  </si>
  <si>
    <t>Malgolla</t>
  </si>
  <si>
    <t>Pattithalawa</t>
  </si>
  <si>
    <t>Gamagoda</t>
  </si>
  <si>
    <t>Dolosbage,Kandy.</t>
  </si>
  <si>
    <t>MF0078</t>
  </si>
  <si>
    <t>BLUE FIELD</t>
  </si>
  <si>
    <t>Palagolla</t>
  </si>
  <si>
    <t>Kothmale</t>
  </si>
  <si>
    <t>PalagollaKothmaleRambodaN'Eliya</t>
  </si>
  <si>
    <t>RAMBODA</t>
  </si>
  <si>
    <t>MF0079</t>
  </si>
  <si>
    <t>Sanasa</t>
  </si>
  <si>
    <t>NILHENA</t>
  </si>
  <si>
    <t>Baddegama</t>
  </si>
  <si>
    <t>Yahaladuwa EstateBaddegama</t>
  </si>
  <si>
    <t>CO-OP</t>
  </si>
  <si>
    <t>MF0080</t>
  </si>
  <si>
    <t>Weihena</t>
  </si>
  <si>
    <t>WEIHENA</t>
  </si>
  <si>
    <t>Weihena ,Baddegama.</t>
  </si>
  <si>
    <t>MATHUGAMA</t>
  </si>
  <si>
    <t>MATUGAMA</t>
  </si>
  <si>
    <t>MF0081</t>
  </si>
  <si>
    <t>VOGAN</t>
  </si>
  <si>
    <t>Vogan Estate,MathugamaKAlutara</t>
  </si>
  <si>
    <t>KALUTARA</t>
  </si>
  <si>
    <t>Mathugama</t>
  </si>
  <si>
    <t>PELMADULLA</t>
  </si>
  <si>
    <t>MF0083</t>
  </si>
  <si>
    <t xml:space="preserve">Rilhena </t>
  </si>
  <si>
    <t>Pathakada</t>
  </si>
  <si>
    <t>Rilhena EstatePelmadulla</t>
  </si>
  <si>
    <t>KARAWANELLA</t>
  </si>
  <si>
    <t>MF0085</t>
  </si>
  <si>
    <t xml:space="preserve">Noori </t>
  </si>
  <si>
    <t>DODAWATTE</t>
  </si>
  <si>
    <t>Dodhawatte</t>
  </si>
  <si>
    <t>Noori Estate,Noori.</t>
  </si>
  <si>
    <t>KEGALLE</t>
  </si>
  <si>
    <t>Deraniyagala</t>
  </si>
  <si>
    <t>MF0089</t>
  </si>
  <si>
    <t>MASKELIYA</t>
  </si>
  <si>
    <t>MF0093</t>
  </si>
  <si>
    <t>Ancoombra</t>
  </si>
  <si>
    <t>Ankumbura(North)</t>
  </si>
  <si>
    <t>Ankumbura</t>
  </si>
  <si>
    <t>Meezan Ancoombra Plantation (Pvt) Ltd392Maha Veediya,Matale.</t>
  </si>
  <si>
    <t>Pujapitiya</t>
  </si>
  <si>
    <t>UDUNUWARA</t>
  </si>
  <si>
    <t>MF0094</t>
  </si>
  <si>
    <t>Alpitikanda</t>
  </si>
  <si>
    <t>Kovilakanda</t>
  </si>
  <si>
    <t>Paranapitiya</t>
  </si>
  <si>
    <t>Paranapitiya,Wattappola.</t>
  </si>
  <si>
    <t>Udu Nuwara</t>
  </si>
  <si>
    <t>MF0096</t>
  </si>
  <si>
    <t>ETTAPOLLA</t>
  </si>
  <si>
    <t>Makulemada</t>
  </si>
  <si>
    <t>Ettapola EstateOvilikanda</t>
  </si>
  <si>
    <t>HUNASGIRIYA MATALE YAKDESSA</t>
  </si>
  <si>
    <t>MF0100</t>
  </si>
  <si>
    <t>Ellakanda</t>
  </si>
  <si>
    <t>Baddegama East</t>
  </si>
  <si>
    <t>Ellakanda EstateBaddegama</t>
  </si>
  <si>
    <t>YAKKALAMULLA</t>
  </si>
  <si>
    <t>MF0101</t>
  </si>
  <si>
    <t xml:space="preserve">Iddamaldeniya </t>
  </si>
  <si>
    <t>Naungala</t>
  </si>
  <si>
    <t>Nawangala</t>
  </si>
  <si>
    <t>Naungala,Kottawagama,Galle.</t>
  </si>
  <si>
    <t>Yakkalamulla</t>
  </si>
  <si>
    <t>RAKWANA</t>
  </si>
  <si>
    <t>MF0103</t>
  </si>
  <si>
    <t xml:space="preserve">Opatha </t>
  </si>
  <si>
    <t>KOTAKETHENNA</t>
  </si>
  <si>
    <t>Opata EstateKahawatte</t>
  </si>
  <si>
    <t>Godakawela</t>
  </si>
  <si>
    <t>MF0104</t>
  </si>
  <si>
    <t xml:space="preserve">Wellandura </t>
  </si>
  <si>
    <t>Wellandura</t>
  </si>
  <si>
    <t>Wellandura EstateKahawatte</t>
  </si>
  <si>
    <t>Kahawatta</t>
  </si>
  <si>
    <t>MF0105</t>
  </si>
  <si>
    <t xml:space="preserve">Cannavarella </t>
  </si>
  <si>
    <t>87 D Cannavarella</t>
  </si>
  <si>
    <t>Namunukula.PassaraBadulla</t>
  </si>
  <si>
    <t>ELLA NAMUNUKULA</t>
  </si>
  <si>
    <t>MF0106</t>
  </si>
  <si>
    <t xml:space="preserve">Mahawale </t>
  </si>
  <si>
    <t>Mahawala EstateRatnapura</t>
  </si>
  <si>
    <t>Ratnapura</t>
  </si>
  <si>
    <t>MF0107</t>
  </si>
  <si>
    <t xml:space="preserve">Nilagama </t>
  </si>
  <si>
    <t>Palmadulla Estate,Kahawatte.</t>
  </si>
  <si>
    <t>MF0108</t>
  </si>
  <si>
    <t>Poronuwa</t>
  </si>
  <si>
    <t>PORONUWA - 170B</t>
  </si>
  <si>
    <t>Poronuwa Estate,Kahawatte.</t>
  </si>
  <si>
    <t>MF0109</t>
  </si>
  <si>
    <t>GERAGAMA</t>
  </si>
  <si>
    <t>Parakotawella</t>
  </si>
  <si>
    <t>Giragama Estatepilimatalawa</t>
  </si>
  <si>
    <t>ELPITIYA</t>
  </si>
  <si>
    <t>MF0124</t>
  </si>
  <si>
    <t>Rasota</t>
  </si>
  <si>
    <t>ELLA  26 G</t>
  </si>
  <si>
    <t>EllaElpitiyaGalle</t>
  </si>
  <si>
    <t>Elpitiya</t>
  </si>
  <si>
    <t>MF0126</t>
  </si>
  <si>
    <t xml:space="preserve">Mahaweli Tea Shakthi </t>
  </si>
  <si>
    <t>Ruwanpura</t>
  </si>
  <si>
    <t>Ruwanpura,Nawalapitiya.</t>
  </si>
  <si>
    <t>MF0127</t>
  </si>
  <si>
    <t>Kings Valley</t>
  </si>
  <si>
    <t>Pallegama</t>
  </si>
  <si>
    <t>Atabage</t>
  </si>
  <si>
    <t>Sanquare Estate, Pallegama,Atabage.</t>
  </si>
  <si>
    <t>Gampola</t>
  </si>
  <si>
    <t>NAGODA</t>
  </si>
  <si>
    <t>MF0128</t>
  </si>
  <si>
    <t>Pimburagala</t>
  </si>
  <si>
    <t>Urala</t>
  </si>
  <si>
    <t>UralaWandurambaGalle</t>
  </si>
  <si>
    <t>Nagoda</t>
  </si>
  <si>
    <t>MF0131</t>
  </si>
  <si>
    <t>MAHATENNE</t>
  </si>
  <si>
    <t>MF0132</t>
  </si>
  <si>
    <t>Erin</t>
  </si>
  <si>
    <t>Doluwa</t>
  </si>
  <si>
    <t>Galaha</t>
  </si>
  <si>
    <t>Erin Estate,Panvilatenna.</t>
  </si>
  <si>
    <t>MF0141</t>
  </si>
  <si>
    <t>Alma</t>
  </si>
  <si>
    <t>kurunduoya</t>
  </si>
  <si>
    <t>Alma Estate,Kadapola.</t>
  </si>
  <si>
    <t>MATURATA</t>
  </si>
  <si>
    <t>MF0142</t>
  </si>
  <si>
    <t>Sirimevana</t>
  </si>
  <si>
    <t>Yakkalamulla East</t>
  </si>
  <si>
    <t>SirimewanaYakkalamulla</t>
  </si>
  <si>
    <t>MF0144</t>
  </si>
  <si>
    <t>FERHAM</t>
  </si>
  <si>
    <t>Lindula</t>
  </si>
  <si>
    <t>Ferham EstateTalawakelle</t>
  </si>
  <si>
    <t>MF0146</t>
  </si>
  <si>
    <t>GALLEBODDE</t>
  </si>
  <si>
    <t>Galaboda Estate</t>
  </si>
  <si>
    <t>WATAWALA GINIGAT NOTRON</t>
  </si>
  <si>
    <t>INGIRIYA</t>
  </si>
  <si>
    <t>MF0147</t>
  </si>
  <si>
    <t>RAYIGAMA</t>
  </si>
  <si>
    <t>Mahaingiriya</t>
  </si>
  <si>
    <t>Raygama EstateIngiriyaKalutara</t>
  </si>
  <si>
    <t>Horana</t>
  </si>
  <si>
    <t>MF0148</t>
  </si>
  <si>
    <t>Raxawa</t>
  </si>
  <si>
    <t>Panwila</t>
  </si>
  <si>
    <t>Panwila,Kandy.</t>
  </si>
  <si>
    <t>Pata Dumbara</t>
  </si>
  <si>
    <t>MADULKELLE KNUCKLES RANGA</t>
  </si>
  <si>
    <t>MF0149</t>
  </si>
  <si>
    <t>HAGALLA</t>
  </si>
  <si>
    <t>Hagalla Estate</t>
  </si>
  <si>
    <t>MF0150</t>
  </si>
  <si>
    <t>New Orayan</t>
  </si>
  <si>
    <t>Orayan Watta</t>
  </si>
  <si>
    <t>Orayan Estate,Wewathenna,Gampola.</t>
  </si>
  <si>
    <t>MF0153</t>
  </si>
  <si>
    <t>Uva Ketawella</t>
  </si>
  <si>
    <t>Landewela</t>
  </si>
  <si>
    <t>Dickwella EstateHali-Ela</t>
  </si>
  <si>
    <t>MF0155</t>
  </si>
  <si>
    <t xml:space="preserve">St James </t>
  </si>
  <si>
    <t>Morethota</t>
  </si>
  <si>
    <t>Hali Ella</t>
  </si>
  <si>
    <t>MALWATTE WELIMADA</t>
  </si>
  <si>
    <t>MF0156</t>
  </si>
  <si>
    <t xml:space="preserve">Uva Highlands </t>
  </si>
  <si>
    <t xml:space="preserve">Maligatenna </t>
  </si>
  <si>
    <t>Uva Hilands EstateBandarawela</t>
  </si>
  <si>
    <t>MF0159</t>
  </si>
  <si>
    <t xml:space="preserve">STOCKHOLM </t>
  </si>
  <si>
    <t>Upcot</t>
  </si>
  <si>
    <t>Stockholm EstateNorwood</t>
  </si>
  <si>
    <t>MF0160</t>
  </si>
  <si>
    <t>Pussatenna</t>
  </si>
  <si>
    <t>Lagumdeniya</t>
  </si>
  <si>
    <t>Pussatenne Estate,Panvilatenna,Gampola.</t>
  </si>
  <si>
    <t>MF0163</t>
  </si>
  <si>
    <t xml:space="preserve">Neluwa </t>
  </si>
  <si>
    <t>56C-Uva Mahawela</t>
  </si>
  <si>
    <t>Neluwa EstateBandarawela</t>
  </si>
  <si>
    <t>MF0164</t>
  </si>
  <si>
    <t>IMBOOLPITIYA</t>
  </si>
  <si>
    <t>IMBULPITIYA</t>
  </si>
  <si>
    <t>Imbulpitiya EstateNawalapitiya</t>
  </si>
  <si>
    <t>MF0166</t>
  </si>
  <si>
    <t xml:space="preserve">Embuldeniya </t>
  </si>
  <si>
    <t>EmbuldeniyaRatnapura</t>
  </si>
  <si>
    <t>MF0168</t>
  </si>
  <si>
    <t>ENDANE</t>
  </si>
  <si>
    <t>Endana</t>
  </si>
  <si>
    <t>Endane EstateKahawatte</t>
  </si>
  <si>
    <t>MF0169</t>
  </si>
  <si>
    <t xml:space="preserve">Diyanillakelle </t>
  </si>
  <si>
    <t>Eildon Hall -475/T</t>
  </si>
  <si>
    <t>Diyanillakelle</t>
  </si>
  <si>
    <t>Diyanilakelle Estate,Lindula 22090.</t>
  </si>
  <si>
    <t>MF0171</t>
  </si>
  <si>
    <t>Castlemilk</t>
  </si>
  <si>
    <t>PANVILATENNA</t>
  </si>
  <si>
    <t>Panwilatenne</t>
  </si>
  <si>
    <t>Panwilatenna,Gampola.</t>
  </si>
  <si>
    <t>MF0173</t>
  </si>
  <si>
    <t>Baranagala</t>
  </si>
  <si>
    <t>Raxawa,Udahentenna.</t>
  </si>
  <si>
    <t>MF0175</t>
  </si>
  <si>
    <t>Bramley</t>
  </si>
  <si>
    <t>Pinkanthalawa</t>
  </si>
  <si>
    <t>Bramley Estate,Kandapola.</t>
  </si>
  <si>
    <t>MF0178</t>
  </si>
  <si>
    <t>OONAGALLA</t>
  </si>
  <si>
    <t>KALAWANA</t>
  </si>
  <si>
    <t>MF0181</t>
  </si>
  <si>
    <t xml:space="preserve">Ceciliyan </t>
  </si>
  <si>
    <t>Thapaswarakanda</t>
  </si>
  <si>
    <t>Ceciliyan EstateThapaswarakandaKalawanaRatnapura</t>
  </si>
  <si>
    <t>Kalawana</t>
  </si>
  <si>
    <t>MF0183</t>
  </si>
  <si>
    <t xml:space="preserve">New Kandagastenne </t>
  </si>
  <si>
    <t>PELMADULLAGAMA</t>
  </si>
  <si>
    <t>Bathgamgoda, Pelmadulla.</t>
  </si>
  <si>
    <t>BALANGODA</t>
  </si>
  <si>
    <t>MF0184</t>
  </si>
  <si>
    <t xml:space="preserve">Rekadahena </t>
  </si>
  <si>
    <t>Kahaduwa</t>
  </si>
  <si>
    <t>Rekadahena EstateKahaduwa</t>
  </si>
  <si>
    <t>MF0185</t>
  </si>
  <si>
    <t>Gallinda</t>
  </si>
  <si>
    <t>Talgaswala</t>
  </si>
  <si>
    <t>Talgaswela Estate</t>
  </si>
  <si>
    <t>MF0187</t>
  </si>
  <si>
    <t xml:space="preserve">Alagolla </t>
  </si>
  <si>
    <t>42B Allagolla</t>
  </si>
  <si>
    <t>Kiriwanagama</t>
  </si>
  <si>
    <t>Alagolla EstateUdapussellawa</t>
  </si>
  <si>
    <t>MF0188</t>
  </si>
  <si>
    <t>St. Coombs</t>
  </si>
  <si>
    <t>LINDULA</t>
  </si>
  <si>
    <t>Tea Research Institute,St. Coombs,Talawakelle.</t>
  </si>
  <si>
    <t>TRI</t>
  </si>
  <si>
    <t>PILIMATHALAWA</t>
  </si>
  <si>
    <t>MF0189</t>
  </si>
  <si>
    <t>MOUNT FRANION</t>
  </si>
  <si>
    <t>Murutalawa</t>
  </si>
  <si>
    <t>Dehigama</t>
  </si>
  <si>
    <t>MurutalawaKandy</t>
  </si>
  <si>
    <t>MF0191</t>
  </si>
  <si>
    <t>Avondale</t>
  </si>
  <si>
    <t>Gallella</t>
  </si>
  <si>
    <t>GallellaRatnapura</t>
  </si>
  <si>
    <t>MF0192</t>
  </si>
  <si>
    <t>Kanuketiya</t>
  </si>
  <si>
    <t>Wahala Kananke</t>
  </si>
  <si>
    <t>Wahala kananke</t>
  </si>
  <si>
    <t>ImaduwaGalle</t>
  </si>
  <si>
    <t>Welipitiya</t>
  </si>
  <si>
    <t>MF0198</t>
  </si>
  <si>
    <t>THEBERTON</t>
  </si>
  <si>
    <t>Poththahena</t>
  </si>
  <si>
    <t>Vedulipura</t>
  </si>
  <si>
    <t>4th Mile PostNorton brigde</t>
  </si>
  <si>
    <t>MF0200</t>
  </si>
  <si>
    <t xml:space="preserve">Pettiyagalla </t>
  </si>
  <si>
    <t>PETTIAGALLA</t>
  </si>
  <si>
    <t>Pettiyagalla EstateRatnapura</t>
  </si>
  <si>
    <t>Balangoda</t>
  </si>
  <si>
    <t>BALANGODA RAKWANA</t>
  </si>
  <si>
    <t>NORWOOD</t>
  </si>
  <si>
    <t>MF0204</t>
  </si>
  <si>
    <t>LETHENTY</t>
  </si>
  <si>
    <t>319K Lethenty</t>
  </si>
  <si>
    <t>Lethenty EstateAmbagamuwaNuwara Eliya</t>
  </si>
  <si>
    <t>MF0205</t>
  </si>
  <si>
    <t>KADIENLENA</t>
  </si>
  <si>
    <t>MF0206</t>
  </si>
  <si>
    <t>LOINORN</t>
  </si>
  <si>
    <t>Loinon</t>
  </si>
  <si>
    <t>Bogawathalawa</t>
  </si>
  <si>
    <t>Lionorn EstateBogawanthalawa</t>
  </si>
  <si>
    <t>MF0210</t>
  </si>
  <si>
    <t xml:space="preserve">Haughton </t>
  </si>
  <si>
    <t>WEWELKANDURA</t>
  </si>
  <si>
    <t>Haughton EstateKalawana</t>
  </si>
  <si>
    <t>MF0213</t>
  </si>
  <si>
    <t xml:space="preserve">Kahagalla </t>
  </si>
  <si>
    <t>Panketiya</t>
  </si>
  <si>
    <t>Kahagalla Estate Haputale</t>
  </si>
  <si>
    <t>Haputale</t>
  </si>
  <si>
    <t>MF0214</t>
  </si>
  <si>
    <t xml:space="preserve">Ambatenne </t>
  </si>
  <si>
    <t>INIKAMBEDDA</t>
  </si>
  <si>
    <t>Ambatenne Estate,Bandarawela.</t>
  </si>
  <si>
    <t>Bandarawela</t>
  </si>
  <si>
    <t>BANDARAWELA POONAGALLA</t>
  </si>
  <si>
    <t>MF0215</t>
  </si>
  <si>
    <t>Meedumpitiya</t>
  </si>
  <si>
    <t xml:space="preserve">Meedumpitiya </t>
  </si>
  <si>
    <t>MeedumpitiyaPassara</t>
  </si>
  <si>
    <t>URUBOKKA</t>
  </si>
  <si>
    <t>MF0216</t>
  </si>
  <si>
    <t>Rasa</t>
  </si>
  <si>
    <t>PATTIGALA</t>
  </si>
  <si>
    <t>PattigalaBeralapanathara</t>
  </si>
  <si>
    <t>Pasgoda Urubokka</t>
  </si>
  <si>
    <t>MF0217</t>
  </si>
  <si>
    <t xml:space="preserve">El Teb </t>
  </si>
  <si>
    <t>89 A Medawelgama</t>
  </si>
  <si>
    <t>El Teb Passara</t>
  </si>
  <si>
    <t>MF0220</t>
  </si>
  <si>
    <t>DUNSINANE</t>
  </si>
  <si>
    <t>Ulapane V C</t>
  </si>
  <si>
    <t>Dunsinane EstatePundalu Oya</t>
  </si>
  <si>
    <t>PUNDALUOYA</t>
  </si>
  <si>
    <t>MF0221</t>
  </si>
  <si>
    <t>TALAWAKELLE</t>
  </si>
  <si>
    <t>THALAWAKELLE 475E</t>
  </si>
  <si>
    <t>Talawakelle EstateTalawakelle</t>
  </si>
  <si>
    <t>MF0226</t>
  </si>
  <si>
    <t>GLASSAUGH</t>
  </si>
  <si>
    <t>NANUOYA</t>
  </si>
  <si>
    <t>NanuoyaNuwara Eliya</t>
  </si>
  <si>
    <t>MF0227</t>
  </si>
  <si>
    <t>Rahathungoda</t>
  </si>
  <si>
    <t>Hewaheta</t>
  </si>
  <si>
    <t>Rahatungoda EstateHewaheta</t>
  </si>
  <si>
    <t>MF0228</t>
  </si>
  <si>
    <t>HARROW</t>
  </si>
  <si>
    <t>Harrow EstatePundalu Oya</t>
  </si>
  <si>
    <t>MF0234</t>
  </si>
  <si>
    <t xml:space="preserve">Gonakelle </t>
  </si>
  <si>
    <t>PUHULWATTE</t>
  </si>
  <si>
    <t>Gonakelle Estate Passara.</t>
  </si>
  <si>
    <t>MF0235</t>
  </si>
  <si>
    <t>Nayabedde</t>
  </si>
  <si>
    <t>65 H Nayabedda</t>
  </si>
  <si>
    <t>Nayabedda</t>
  </si>
  <si>
    <t>Nyabedde EstateNayabeddaBandarawela</t>
  </si>
  <si>
    <t>MF0236</t>
  </si>
  <si>
    <t xml:space="preserve">Pambagama </t>
  </si>
  <si>
    <t>Godagampola</t>
  </si>
  <si>
    <t>Pambegama Estate,Parakaduwa.</t>
  </si>
  <si>
    <t>Dehiowita</t>
  </si>
  <si>
    <t>MF0238</t>
  </si>
  <si>
    <t>WARRIAGALLA</t>
  </si>
  <si>
    <t>MORAWAKA</t>
  </si>
  <si>
    <t>MF0241</t>
  </si>
  <si>
    <t>Belmont</t>
  </si>
  <si>
    <t>HULANDAWA</t>
  </si>
  <si>
    <t>AkuressaMatara</t>
  </si>
  <si>
    <t>Akuressa</t>
  </si>
  <si>
    <t>MORAWAKE</t>
  </si>
  <si>
    <t>MF0242</t>
  </si>
  <si>
    <t xml:space="preserve">CLARENDON </t>
  </si>
  <si>
    <t>PERAKUMBURA</t>
  </si>
  <si>
    <t>Nanu Oya</t>
  </si>
  <si>
    <t>Clarendon EstateNanu Oya</t>
  </si>
  <si>
    <t>MF0243</t>
  </si>
  <si>
    <t xml:space="preserve">Kinellan </t>
  </si>
  <si>
    <t xml:space="preserve">69 G Hettipola </t>
  </si>
  <si>
    <t>Kumbalwela</t>
  </si>
  <si>
    <t>Kinellan Tea EstateElla.</t>
  </si>
  <si>
    <t>Ella</t>
  </si>
  <si>
    <t>MF0246</t>
  </si>
  <si>
    <t>ALLAKOLLA</t>
  </si>
  <si>
    <t>Kosgama</t>
  </si>
  <si>
    <t>Allakolla S PMadukelle</t>
  </si>
  <si>
    <t>MF0247</t>
  </si>
  <si>
    <t xml:space="preserve">Udaveria </t>
  </si>
  <si>
    <t xml:space="preserve">Weerakoongama </t>
  </si>
  <si>
    <t>Ohiya</t>
  </si>
  <si>
    <t>Udaveria EstateOhiya</t>
  </si>
  <si>
    <t>MF0250</t>
  </si>
  <si>
    <t>DOWNSIDE</t>
  </si>
  <si>
    <t>Downside</t>
  </si>
  <si>
    <t>Downside Welimada</t>
  </si>
  <si>
    <t>MF0251</t>
  </si>
  <si>
    <t>Glenloch</t>
  </si>
  <si>
    <t>Katukitula</t>
  </si>
  <si>
    <t>Katukithula</t>
  </si>
  <si>
    <t>Nuwara Eliya Road, Katukithula.</t>
  </si>
  <si>
    <t>MF0253</t>
  </si>
  <si>
    <t>Wewesse</t>
  </si>
  <si>
    <t>80 J -Wewessa</t>
  </si>
  <si>
    <t>Wewessa EstateBadulla</t>
  </si>
  <si>
    <t>Badulla</t>
  </si>
  <si>
    <t>MF0255</t>
  </si>
  <si>
    <t xml:space="preserve">New Kellie Group </t>
  </si>
  <si>
    <t>Miyanagala</t>
  </si>
  <si>
    <t>Kellie Kalani</t>
  </si>
  <si>
    <t>Dolosbage,Nawalapitiya.</t>
  </si>
  <si>
    <t>MF0256</t>
  </si>
  <si>
    <t xml:space="preserve">Ellawala </t>
  </si>
  <si>
    <t>Dehiwinna</t>
  </si>
  <si>
    <t>Ellawala EstateBandarawela</t>
  </si>
  <si>
    <t>MF0258</t>
  </si>
  <si>
    <t>Balangoda Tea Shakthi</t>
  </si>
  <si>
    <t>Karadiyamulla</t>
  </si>
  <si>
    <t>OlugantotaBalangoda</t>
  </si>
  <si>
    <t>Imbulpe</t>
  </si>
  <si>
    <t>MF0259</t>
  </si>
  <si>
    <t>Kudamalana</t>
  </si>
  <si>
    <t>214D-Marakanda</t>
  </si>
  <si>
    <t>Kudamalana Watta,Talgaswela.</t>
  </si>
  <si>
    <t>MF0262</t>
  </si>
  <si>
    <t>Upper Balangoda</t>
  </si>
  <si>
    <t>Pettigala</t>
  </si>
  <si>
    <t>Yakdehikanda</t>
  </si>
  <si>
    <t>Upper Balangoda EstateBalangoda</t>
  </si>
  <si>
    <t>MF0263</t>
  </si>
  <si>
    <t>Wewawatte</t>
  </si>
  <si>
    <t>Thambagoda</t>
  </si>
  <si>
    <t>Wewatta EstateRassagala RoadBalangoda</t>
  </si>
  <si>
    <t>MF0267</t>
  </si>
  <si>
    <t>New Mount Carmel</t>
  </si>
  <si>
    <t>Ambalankanda</t>
  </si>
  <si>
    <t>Ambalakanda</t>
  </si>
  <si>
    <t>Mount Carmel Estate,AmbalakandaAranayaka</t>
  </si>
  <si>
    <t>Aranayake</t>
  </si>
  <si>
    <t>MF0268</t>
  </si>
  <si>
    <t>Rhineland</t>
  </si>
  <si>
    <t>Wahugapitiya</t>
  </si>
  <si>
    <t>Pussellawa Gama</t>
  </si>
  <si>
    <t>Nuwareliya Road,Pussellawa.</t>
  </si>
  <si>
    <t>MF0269</t>
  </si>
  <si>
    <t xml:space="preserve">Dambatenne </t>
  </si>
  <si>
    <t>Dambethenna</t>
  </si>
  <si>
    <t>Dambatenne</t>
  </si>
  <si>
    <t>MF0270</t>
  </si>
  <si>
    <t>Pupuressa</t>
  </si>
  <si>
    <t>Pupuressa.</t>
  </si>
  <si>
    <t>MF0271</t>
  </si>
  <si>
    <t>AMBRAGALLA</t>
  </si>
  <si>
    <t>MF0272</t>
  </si>
  <si>
    <t xml:space="preserve">Panilkanda </t>
  </si>
  <si>
    <t>ULLINDUWAWA</t>
  </si>
  <si>
    <t>Ulliduwawa</t>
  </si>
  <si>
    <t>UllinduwawaPanil Kanda,Deniyaya</t>
  </si>
  <si>
    <t>Kolonna</t>
  </si>
  <si>
    <t>MF0275</t>
  </si>
  <si>
    <t>BLINKBONNIE</t>
  </si>
  <si>
    <t>Ingestry</t>
  </si>
  <si>
    <t>Blinkbonnie EstateDick Oya</t>
  </si>
  <si>
    <t>GInigathhena</t>
  </si>
  <si>
    <t>HATTON DICKOYA</t>
  </si>
  <si>
    <t>MF0276</t>
  </si>
  <si>
    <t xml:space="preserve">HENFORD </t>
  </si>
  <si>
    <t>Hanfold</t>
  </si>
  <si>
    <t>Henfold EstateLindulaTalawakelle</t>
  </si>
  <si>
    <t>MF0277</t>
  </si>
  <si>
    <t xml:space="preserve">Balagala Ella </t>
  </si>
  <si>
    <t>Liyangahawela</t>
  </si>
  <si>
    <t>Liyangahawela,Poonagala Road,Bandarawela</t>
  </si>
  <si>
    <t>MF0278</t>
  </si>
  <si>
    <t>Ottery</t>
  </si>
  <si>
    <t>Annfield</t>
  </si>
  <si>
    <t>Invery Estate,Dickoya.</t>
  </si>
  <si>
    <t>MF0283</t>
  </si>
  <si>
    <t>OPALGALLA</t>
  </si>
  <si>
    <t>MF0285</t>
  </si>
  <si>
    <t xml:space="preserve">Hunuwella </t>
  </si>
  <si>
    <t>HALLINNA</t>
  </si>
  <si>
    <t>Hunuwella EstateOpanayake.</t>
  </si>
  <si>
    <t>Opanayaka</t>
  </si>
  <si>
    <t>MF0286</t>
  </si>
  <si>
    <t xml:space="preserve">KALLEBOKKA </t>
  </si>
  <si>
    <t>Kallebokka</t>
  </si>
  <si>
    <t>KellebokkaMadulkelle</t>
  </si>
  <si>
    <t>MF0287</t>
  </si>
  <si>
    <t>TIENTSIN</t>
  </si>
  <si>
    <t>Tintsin</t>
  </si>
  <si>
    <t>Bogawantalawa EstateBogawanthalawa</t>
  </si>
  <si>
    <t>MF0289</t>
  </si>
  <si>
    <t xml:space="preserve">Watapota </t>
  </si>
  <si>
    <t>WATAGAHA</t>
  </si>
  <si>
    <t>Watapotha EstateNivithigala</t>
  </si>
  <si>
    <t>Nivithigala</t>
  </si>
  <si>
    <t>MF0290</t>
  </si>
  <si>
    <t>Bopitiya</t>
  </si>
  <si>
    <t>Bopitiya Estate,Deltota.</t>
  </si>
  <si>
    <t>Deltota</t>
  </si>
  <si>
    <t>MF0292</t>
  </si>
  <si>
    <t xml:space="preserve">Poonagalla </t>
  </si>
  <si>
    <t xml:space="preserve">POONAGALA </t>
  </si>
  <si>
    <t>Poonagalla  Spo</t>
  </si>
  <si>
    <t>MF0293</t>
  </si>
  <si>
    <t xml:space="preserve">Kelani </t>
  </si>
  <si>
    <t xml:space="preserve">Parasella </t>
  </si>
  <si>
    <t>Kelani Estate,Parussella,Yatiyantota.</t>
  </si>
  <si>
    <t>Yatiyantota</t>
  </si>
  <si>
    <t>KALANY VELLY</t>
  </si>
  <si>
    <t>MF0294</t>
  </si>
  <si>
    <t>ROBGILL GROUP</t>
  </si>
  <si>
    <t>Robgill EstateBogawanthalawa</t>
  </si>
  <si>
    <t>MF0295</t>
  </si>
  <si>
    <t xml:space="preserve">Kuttapitiya </t>
  </si>
  <si>
    <t>WATHTHEPANGUWA</t>
  </si>
  <si>
    <t xml:space="preserve"> Kuttapitiya Estate,Pelmadulla.</t>
  </si>
  <si>
    <t>MF0296</t>
  </si>
  <si>
    <t>DOLOSWELLA</t>
  </si>
  <si>
    <t>COLOMBAGAMA</t>
  </si>
  <si>
    <t>Doloswella Estate</t>
  </si>
  <si>
    <t>MF0298</t>
  </si>
  <si>
    <t>AMBANPITIYA</t>
  </si>
  <si>
    <t>MF0300</t>
  </si>
  <si>
    <t>ABBOTSLEIGH</t>
  </si>
  <si>
    <t>HATTON SOUTH</t>
  </si>
  <si>
    <t>Abbostleigh EstateHatton</t>
  </si>
  <si>
    <t>MF0304</t>
  </si>
  <si>
    <t>Talgaswella</t>
  </si>
  <si>
    <t>THAGASWELLA</t>
  </si>
  <si>
    <t>Talgaswela EstateTalgaswela</t>
  </si>
  <si>
    <t>MF0308</t>
  </si>
  <si>
    <t>FETTERESSO</t>
  </si>
  <si>
    <t>Fetteresso Estate</t>
  </si>
  <si>
    <t>MF0309</t>
  </si>
  <si>
    <t>MAGALLA GROUP</t>
  </si>
  <si>
    <t>AKURESSA</t>
  </si>
  <si>
    <t>MF0310</t>
  </si>
  <si>
    <t>Hallala Group</t>
  </si>
  <si>
    <t>Hallala Estate, Weligama</t>
  </si>
  <si>
    <t>MF0311</t>
  </si>
  <si>
    <t>KARANDUPONA</t>
  </si>
  <si>
    <t>MF0313</t>
  </si>
  <si>
    <t>Battalgalla</t>
  </si>
  <si>
    <t>Dickoya</t>
  </si>
  <si>
    <t>Battalgalla EstateDick Oya</t>
  </si>
  <si>
    <t>MF0315</t>
  </si>
  <si>
    <t>Pansalthenna</t>
  </si>
  <si>
    <t>Balakaduwa</t>
  </si>
  <si>
    <t>balakaduwa,Alawathugoda,Matale.</t>
  </si>
  <si>
    <t>Matale</t>
  </si>
  <si>
    <t>MF0318</t>
  </si>
  <si>
    <t>Rosyth</t>
  </si>
  <si>
    <t>PUSSELLA</t>
  </si>
  <si>
    <t>Talagahayaya</t>
  </si>
  <si>
    <t>Rosyth EstatePussellaKegalle</t>
  </si>
  <si>
    <t>Kegalle</t>
  </si>
  <si>
    <t>MF0319</t>
  </si>
  <si>
    <t>NON PAREIL</t>
  </si>
  <si>
    <t>GALAGAMA</t>
  </si>
  <si>
    <t>Non Pareil EstateBelihuloya</t>
  </si>
  <si>
    <t>MF0321</t>
  </si>
  <si>
    <t>Thalangaha</t>
  </si>
  <si>
    <t>Nakiyadeniya</t>
  </si>
  <si>
    <t>Bataketiya,Nakiyadeniya.</t>
  </si>
  <si>
    <t>MF0322</t>
  </si>
  <si>
    <t xml:space="preserve">MOUNT VERNON </t>
  </si>
  <si>
    <t>Patana</t>
  </si>
  <si>
    <t>Mount Vernon EstateKotagala</t>
  </si>
  <si>
    <t>MF0327</t>
  </si>
  <si>
    <t xml:space="preserve">Pingarawa </t>
  </si>
  <si>
    <t>Namunukula</t>
  </si>
  <si>
    <t>Pingarawa Estate,Namunukula.</t>
  </si>
  <si>
    <t>MF0329</t>
  </si>
  <si>
    <t xml:space="preserve">Uva Moragolla </t>
  </si>
  <si>
    <t>Moragolla</t>
  </si>
  <si>
    <t>Moragolla Road,Welimada.</t>
  </si>
  <si>
    <t>MF0338</t>
  </si>
  <si>
    <t>Olympus</t>
  </si>
  <si>
    <t>Keebiela</t>
  </si>
  <si>
    <t>Olympus Tea EstateKeebielaPOddalaGalle</t>
  </si>
  <si>
    <t>MF0340</t>
  </si>
  <si>
    <t>HOPE</t>
  </si>
  <si>
    <t>Hope</t>
  </si>
  <si>
    <t>Hope EstateHewaheta</t>
  </si>
  <si>
    <t>MF0341</t>
  </si>
  <si>
    <t>Ingurugala</t>
  </si>
  <si>
    <t>Patithalawa</t>
  </si>
  <si>
    <t>Berawila</t>
  </si>
  <si>
    <t>Ingurugala Estate,Dolosbage.</t>
  </si>
  <si>
    <t>MF0342</t>
  </si>
  <si>
    <t>KIRIMITTIA</t>
  </si>
  <si>
    <t>MF0343</t>
  </si>
  <si>
    <t>LABOOKELLIE</t>
  </si>
  <si>
    <t>Labookele</t>
  </si>
  <si>
    <t>Kuda Oya</t>
  </si>
  <si>
    <t>Labukalle EstateLabukele</t>
  </si>
  <si>
    <t>MF0344</t>
  </si>
  <si>
    <t>Matale West</t>
  </si>
  <si>
    <t>Atipola</t>
  </si>
  <si>
    <t>Matale Estate,Matale.</t>
  </si>
  <si>
    <t>Yatawatte</t>
  </si>
  <si>
    <t>MF0345</t>
  </si>
  <si>
    <t>MEDDECOMBARA NORTH</t>
  </si>
  <si>
    <t>Dunukedeniya</t>
  </si>
  <si>
    <t>Dunukeniniya</t>
  </si>
  <si>
    <t>North MeddekumburaWatagodaKothmale</t>
  </si>
  <si>
    <t>MF0346</t>
  </si>
  <si>
    <t>MEDDECOMBRA SOUTH</t>
  </si>
  <si>
    <t>Maddakumbura</t>
  </si>
  <si>
    <t>MeddakumburaDunukedeniyaKotmale</t>
  </si>
  <si>
    <t>MF0347</t>
  </si>
  <si>
    <t>MATUWAGALA</t>
  </si>
  <si>
    <t>Mutuwagalla</t>
  </si>
  <si>
    <t>LellopitiyaRatnapura</t>
  </si>
  <si>
    <t>MF0348</t>
  </si>
  <si>
    <t>Norwood EstateNorwood</t>
  </si>
  <si>
    <t>MF0349</t>
  </si>
  <si>
    <t>ROTHSCHILD</t>
  </si>
  <si>
    <t>Nawakadadora</t>
  </si>
  <si>
    <t>Rothschildd EstatePussellawa</t>
  </si>
  <si>
    <t>MF0350</t>
  </si>
  <si>
    <t>Sogama</t>
  </si>
  <si>
    <t>Raja-ela 456E</t>
  </si>
  <si>
    <t>Pusselawa</t>
  </si>
  <si>
    <t>Rothschild Estate,Pussellawa.</t>
  </si>
  <si>
    <t>MF0351</t>
  </si>
  <si>
    <t>Vellaioya</t>
  </si>
  <si>
    <t>Vellai Oya</t>
  </si>
  <si>
    <t>Vellai Oya EstateHatton</t>
  </si>
  <si>
    <t>MF0352</t>
  </si>
  <si>
    <t xml:space="preserve">Wevekellie </t>
  </si>
  <si>
    <t>Welkule Estate</t>
  </si>
  <si>
    <t>MF0353</t>
  </si>
  <si>
    <t>YATIDERIYA</t>
  </si>
  <si>
    <t>Rangalla</t>
  </si>
  <si>
    <t>Yataderiya Estate,Udhugoda,Bulathkohupitiya.</t>
  </si>
  <si>
    <t>MF0363</t>
  </si>
  <si>
    <t>ST. JOHN'S HILL</t>
  </si>
  <si>
    <t>MF0365</t>
  </si>
  <si>
    <t>Hartley</t>
  </si>
  <si>
    <t xml:space="preserve">Ihala Welgama 824A </t>
  </si>
  <si>
    <t>Mahagama,Polegoda.</t>
  </si>
  <si>
    <t>Bulathsinhala</t>
  </si>
  <si>
    <t>MF0366</t>
  </si>
  <si>
    <t>ARGRA OUVAH</t>
  </si>
  <si>
    <t>Glassglow</t>
  </si>
  <si>
    <t>Agarapathana</t>
  </si>
  <si>
    <t>Agra Ouvah EstateAgarapathana</t>
  </si>
  <si>
    <t>MF0367</t>
  </si>
  <si>
    <t xml:space="preserve">Cecilton </t>
  </si>
  <si>
    <t xml:space="preserve">Bolthumbe </t>
  </si>
  <si>
    <t>Cicilton EstatePinnawala</t>
  </si>
  <si>
    <t>MF0368</t>
  </si>
  <si>
    <t>BALMORAL</t>
  </si>
  <si>
    <t>Balmoral EstateAgarapathana</t>
  </si>
  <si>
    <t>MF0369</t>
  </si>
  <si>
    <t>MARATENNE</t>
  </si>
  <si>
    <t>MARATENNE TEA FACTORYBALANGODA GROUPBALANGODA</t>
  </si>
  <si>
    <t>MF0370</t>
  </si>
  <si>
    <t>BANDARAPOLA</t>
  </si>
  <si>
    <t>Kandenuwara West (369)G</t>
  </si>
  <si>
    <t>Alwatte</t>
  </si>
  <si>
    <t>Bandarapola EstateAlwatteMatale</t>
  </si>
  <si>
    <t>Rattota</t>
  </si>
  <si>
    <t>MF0371</t>
  </si>
  <si>
    <t>Battawatte</t>
  </si>
  <si>
    <t>18 D Battawatte</t>
  </si>
  <si>
    <t>Battawatta GroupMadulsima</t>
  </si>
  <si>
    <t>Lunugala</t>
  </si>
  <si>
    <t>MADULSIMA</t>
  </si>
  <si>
    <t>MF0374</t>
  </si>
  <si>
    <t>BRUNSWICK</t>
  </si>
  <si>
    <t>Brunswick EstateMaskeliya</t>
  </si>
  <si>
    <t>MF0378</t>
  </si>
  <si>
    <t>Dankoluwa</t>
  </si>
  <si>
    <t>Pitabeddera</t>
  </si>
  <si>
    <t>MF0381</t>
  </si>
  <si>
    <t xml:space="preserve">Southem </t>
  </si>
  <si>
    <t>68 B Naulla</t>
  </si>
  <si>
    <t>Demodara EstateDemodara</t>
  </si>
  <si>
    <t>MF0382</t>
  </si>
  <si>
    <t xml:space="preserve">Dickwella </t>
  </si>
  <si>
    <t>75 D Pattipola</t>
  </si>
  <si>
    <t>MF0383</t>
  </si>
  <si>
    <t xml:space="preserve">DRAYTON </t>
  </si>
  <si>
    <t>Drayton</t>
  </si>
  <si>
    <t>Drayton EstateKotagala</t>
  </si>
  <si>
    <t>MF0384</t>
  </si>
  <si>
    <t>DUNKELD</t>
  </si>
  <si>
    <t>Dick Oya</t>
  </si>
  <si>
    <t>Dunkeld EstateDickoya</t>
  </si>
  <si>
    <t>MF0385</t>
  </si>
  <si>
    <t>EDINBURG</t>
  </si>
  <si>
    <t>Nanuoya</t>
  </si>
  <si>
    <t>Edinburgh Estate</t>
  </si>
  <si>
    <t>MF0387</t>
  </si>
  <si>
    <t>FROTOFT</t>
  </si>
  <si>
    <t>Frotoft</t>
  </si>
  <si>
    <t>Frotoft GroupRambodaHatton</t>
  </si>
  <si>
    <t>MF0388</t>
  </si>
  <si>
    <t xml:space="preserve">Gampaha </t>
  </si>
  <si>
    <t>Gampaha</t>
  </si>
  <si>
    <t>Udupussellawa</t>
  </si>
  <si>
    <t>MF0391</t>
  </si>
  <si>
    <t>GONAPITIYA GROUP</t>
  </si>
  <si>
    <t>Gonapitiya Estate</t>
  </si>
  <si>
    <t>MF0392</t>
  </si>
  <si>
    <t>HIGH FOREST</t>
  </si>
  <si>
    <t>Bingandhalawa</t>
  </si>
  <si>
    <t>High Forest Estate</t>
  </si>
  <si>
    <t>MF0393</t>
  </si>
  <si>
    <t>Hayes</t>
  </si>
  <si>
    <t>Ullinduwawa</t>
  </si>
  <si>
    <t>UlliduwawaDeniyayaMatara</t>
  </si>
  <si>
    <t>MF0396</t>
  </si>
  <si>
    <t>INGESTRE</t>
  </si>
  <si>
    <t>Honsey</t>
  </si>
  <si>
    <t>Ingestre EstateDickoya</t>
  </si>
  <si>
    <t>MF0397</t>
  </si>
  <si>
    <t>LUCCOMBE</t>
  </si>
  <si>
    <t>MF0398</t>
  </si>
  <si>
    <t>Maha Uva</t>
  </si>
  <si>
    <t>Mahauva Estate,Walapane.</t>
  </si>
  <si>
    <t>MF0399</t>
  </si>
  <si>
    <t xml:space="preserve">MORAY </t>
  </si>
  <si>
    <t>Rikkattan</t>
  </si>
  <si>
    <t>Moray State PlantationMaskeliya</t>
  </si>
  <si>
    <t>MF0402</t>
  </si>
  <si>
    <t>Udowita</t>
  </si>
  <si>
    <t>Elpitiya Estate,Weligalla.</t>
  </si>
  <si>
    <t>MF0413</t>
  </si>
  <si>
    <t xml:space="preserve">Horamulla </t>
  </si>
  <si>
    <t>Horamulla</t>
  </si>
  <si>
    <t>DemuwawathaRakwana</t>
  </si>
  <si>
    <t>MF0414</t>
  </si>
  <si>
    <t>Katanwila</t>
  </si>
  <si>
    <t>KATANWILA</t>
  </si>
  <si>
    <t>Maliduwa,  Akuressa</t>
  </si>
  <si>
    <t>MF0416</t>
  </si>
  <si>
    <t>Sinhapitiya</t>
  </si>
  <si>
    <t>Galpaya</t>
  </si>
  <si>
    <t>Welikanda</t>
  </si>
  <si>
    <t>Welikanda, Meethalawa,Gampola.</t>
  </si>
  <si>
    <t>MF0420</t>
  </si>
  <si>
    <t xml:space="preserve">Coolbawn </t>
  </si>
  <si>
    <t>Ambagamuwa North 314/13</t>
  </si>
  <si>
    <t>AmbagammuwaGinigathhena</t>
  </si>
  <si>
    <t>MF0426</t>
  </si>
  <si>
    <t>South Co-Op</t>
  </si>
  <si>
    <t>Henagama</t>
  </si>
  <si>
    <t>HenagamaAkuressa</t>
  </si>
  <si>
    <t>MF0428</t>
  </si>
  <si>
    <t xml:space="preserve">Randola </t>
  </si>
  <si>
    <t>Kirimetithenna</t>
  </si>
  <si>
    <t>Kirimetithenna,Balangoda,Ratnapura.</t>
  </si>
  <si>
    <t>MF0430</t>
  </si>
  <si>
    <t>NABRUKANDE</t>
  </si>
  <si>
    <t>Namburukanda Group</t>
  </si>
  <si>
    <t>MF0431</t>
  </si>
  <si>
    <t xml:space="preserve">WANGIOYA </t>
  </si>
  <si>
    <t>Sumerset</t>
  </si>
  <si>
    <t>Radella EstateNanuoya</t>
  </si>
  <si>
    <t>MF0432</t>
  </si>
  <si>
    <t xml:space="preserve">Serendib </t>
  </si>
  <si>
    <t>Hethekma</t>
  </si>
  <si>
    <t>Queentown GroupHali Ella</t>
  </si>
  <si>
    <t>MF0436</t>
  </si>
  <si>
    <t>UDUWELA ESTATE</t>
  </si>
  <si>
    <t>Uduwela</t>
  </si>
  <si>
    <t>Hantane GroupKandy</t>
  </si>
  <si>
    <t>MF0437</t>
  </si>
  <si>
    <t>Kandedola</t>
  </si>
  <si>
    <t>Thalapakubura</t>
  </si>
  <si>
    <t>Gorakawela</t>
  </si>
  <si>
    <t>Gorakawela,Pitabeddara.</t>
  </si>
  <si>
    <t>MF0440</t>
  </si>
  <si>
    <t>Uruwala</t>
  </si>
  <si>
    <t>Hauwpe</t>
  </si>
  <si>
    <t>Thalahagama</t>
  </si>
  <si>
    <t>Uruwala Estate,Akuressa.</t>
  </si>
  <si>
    <t>MF0442</t>
  </si>
  <si>
    <t>Rajagaha</t>
  </si>
  <si>
    <t>Ihalagoda</t>
  </si>
  <si>
    <t>IhalagodaAkmeemana</t>
  </si>
  <si>
    <t>Akmeemana</t>
  </si>
  <si>
    <t>MF0443</t>
  </si>
  <si>
    <t>kingsbru</t>
  </si>
  <si>
    <t>Nissankapura</t>
  </si>
  <si>
    <t>Pallegama Road,Deniyaya.</t>
  </si>
  <si>
    <t>MF0444</t>
  </si>
  <si>
    <t>Seevali Hill</t>
  </si>
  <si>
    <t>Welagedara</t>
  </si>
  <si>
    <t>Wattappola</t>
  </si>
  <si>
    <t>WattappolaKadugannawa</t>
  </si>
  <si>
    <t>MF0445</t>
  </si>
  <si>
    <t>Nelundeniya</t>
  </si>
  <si>
    <t>Yattogoda</t>
  </si>
  <si>
    <t>Kandy Road,Yattogoda,Nelundeniya.</t>
  </si>
  <si>
    <t>Galigamuwa</t>
  </si>
  <si>
    <t>MF0446</t>
  </si>
  <si>
    <t>Gurukanda</t>
  </si>
  <si>
    <t>Niyagama</t>
  </si>
  <si>
    <t>Gurukanda EstateTalgaswala</t>
  </si>
  <si>
    <t>MF0447</t>
  </si>
  <si>
    <t>ANDAPANE</t>
  </si>
  <si>
    <t>MF0448</t>
  </si>
  <si>
    <t xml:space="preserve">Mawarala Tea Shakthi </t>
  </si>
  <si>
    <t>Mawarala</t>
  </si>
  <si>
    <t>Gomila</t>
  </si>
  <si>
    <t>Gomila,Mawarala Watte,Mawarala.</t>
  </si>
  <si>
    <t>MF0449</t>
  </si>
  <si>
    <t>Aennen</t>
  </si>
  <si>
    <t>Pebotuwa</t>
  </si>
  <si>
    <t>PebotuwaRatnapura</t>
  </si>
  <si>
    <t>MF0452</t>
  </si>
  <si>
    <t>GARDIYA</t>
  </si>
  <si>
    <t>MF0453</t>
  </si>
  <si>
    <t>Agarsland</t>
  </si>
  <si>
    <t>Agarsland EstateBalangoda</t>
  </si>
  <si>
    <t>MF0454</t>
  </si>
  <si>
    <t>Galagawa</t>
  </si>
  <si>
    <t>Dematapussa</t>
  </si>
  <si>
    <t>BopagodaAkuressa</t>
  </si>
  <si>
    <t>MF0455</t>
  </si>
  <si>
    <t>Park</t>
  </si>
  <si>
    <t>Park EstateKandepola</t>
  </si>
  <si>
    <t>MF0457</t>
  </si>
  <si>
    <t>PEDRO</t>
  </si>
  <si>
    <t>Pedro</t>
  </si>
  <si>
    <t>Pedro EstateNuwara Eliya</t>
  </si>
  <si>
    <t>MF0459</t>
  </si>
  <si>
    <t>COURT LODGE</t>
  </si>
  <si>
    <t>CourtLodge</t>
  </si>
  <si>
    <t>Court Lodge EstateKandapola</t>
  </si>
  <si>
    <t>MF0462</t>
  </si>
  <si>
    <t>CAROLINA</t>
  </si>
  <si>
    <t>Watawala</t>
  </si>
  <si>
    <t>Corelina EstateWatawala</t>
  </si>
  <si>
    <t>MF0463</t>
  </si>
  <si>
    <t>Mount Jean</t>
  </si>
  <si>
    <t>Watawala -320 F</t>
  </si>
  <si>
    <t>Mount Jean Estate,Watawala.</t>
  </si>
  <si>
    <t>MF0465</t>
  </si>
  <si>
    <t>ST. MARGARETS</t>
  </si>
  <si>
    <t>MF0467</t>
  </si>
  <si>
    <t>CHRYSTLER'S FARM</t>
  </si>
  <si>
    <t>Chrystlers Farm GroupKotagala</t>
  </si>
  <si>
    <t>MF0468</t>
  </si>
  <si>
    <t>KEW</t>
  </si>
  <si>
    <t>Kew  Estate Norwood.</t>
  </si>
  <si>
    <t>MF0469</t>
  </si>
  <si>
    <t>PORTMORE</t>
  </si>
  <si>
    <t>Portmore Tea Factory (Estate)Agarapathana</t>
  </si>
  <si>
    <t>MF0471</t>
  </si>
  <si>
    <t xml:space="preserve">GIKIYANAKANDA </t>
  </si>
  <si>
    <t>Geekiyanakanda Estate,Mathugama</t>
  </si>
  <si>
    <t>Madurawala</t>
  </si>
  <si>
    <t>MF0472</t>
  </si>
  <si>
    <t>Ederapolla</t>
  </si>
  <si>
    <t>Lewala -129A</t>
  </si>
  <si>
    <t>Ederapolla Estate,Bulathkohupitiya.</t>
  </si>
  <si>
    <t>Bulathkohupitiya</t>
  </si>
  <si>
    <t>MF0474</t>
  </si>
  <si>
    <t>CHOISY</t>
  </si>
  <si>
    <t>Niyangandara</t>
  </si>
  <si>
    <t>Pundaluoya</t>
  </si>
  <si>
    <t>MF0481</t>
  </si>
  <si>
    <t xml:space="preserve">Aigburth </t>
  </si>
  <si>
    <t>Bulutota</t>
  </si>
  <si>
    <t>Aigburth Estate,Buluthota.</t>
  </si>
  <si>
    <t>MF0485</t>
  </si>
  <si>
    <t>BOGAWANA</t>
  </si>
  <si>
    <t>Bogawana</t>
  </si>
  <si>
    <t>Loinorn GroupBogawanthalawa</t>
  </si>
  <si>
    <t>MF0486</t>
  </si>
  <si>
    <t>KIRKOSAWALD</t>
  </si>
  <si>
    <t>Kirkoswald</t>
  </si>
  <si>
    <t>Kirkoswald GroupBogawanthalawa</t>
  </si>
  <si>
    <t>MF0488</t>
  </si>
  <si>
    <t xml:space="preserve">Werellapatana </t>
  </si>
  <si>
    <t>89 C Madulsima</t>
  </si>
  <si>
    <t>Madulsima</t>
  </si>
  <si>
    <t>MF0489</t>
  </si>
  <si>
    <t>GREAT WESTERN</t>
  </si>
  <si>
    <t>DIMBULA</t>
  </si>
  <si>
    <t>Great Western EstateNuwara Eliya</t>
  </si>
  <si>
    <t>MF0490</t>
  </si>
  <si>
    <t xml:space="preserve">Hatherleigh </t>
  </si>
  <si>
    <t>Rakwana North</t>
  </si>
  <si>
    <t>Hatherleigh EstateRakwana</t>
  </si>
  <si>
    <t>HATTON</t>
  </si>
  <si>
    <t>MF0491</t>
  </si>
  <si>
    <t>Dimbula, Patana</t>
  </si>
  <si>
    <t>Thalawakale</t>
  </si>
  <si>
    <t>MF0492</t>
  </si>
  <si>
    <t xml:space="preserve">QUEENSBERRY </t>
  </si>
  <si>
    <t>Queensbery</t>
  </si>
  <si>
    <t>Queensberry EstateKothmale</t>
  </si>
  <si>
    <t>MF0493</t>
  </si>
  <si>
    <t>LAMILIERE</t>
  </si>
  <si>
    <t>MF0494</t>
  </si>
  <si>
    <t xml:space="preserve">Ampittiakande </t>
  </si>
  <si>
    <t>Koslanda</t>
  </si>
  <si>
    <t>Ampitikanda EstatePoonagalla spo</t>
  </si>
  <si>
    <t>MF0495</t>
  </si>
  <si>
    <t xml:space="preserve">FORDYCE </t>
  </si>
  <si>
    <t>Fordyce EstateDickoya</t>
  </si>
  <si>
    <t>MF0498</t>
  </si>
  <si>
    <t xml:space="preserve">Greenfield </t>
  </si>
  <si>
    <t>Thotuagala</t>
  </si>
  <si>
    <t>Nikapoltha</t>
  </si>
  <si>
    <t>Thotulagalla Estate,Haputale.</t>
  </si>
  <si>
    <t>MF0499</t>
  </si>
  <si>
    <t>LOGIE</t>
  </si>
  <si>
    <t>Thalawakelle</t>
  </si>
  <si>
    <t>Logie EstateNuwara Eliya</t>
  </si>
  <si>
    <t>MF0501</t>
  </si>
  <si>
    <t>MOCHA</t>
  </si>
  <si>
    <t>Gouravilla Upcot</t>
  </si>
  <si>
    <t>Mocha EstateMaskeliya</t>
  </si>
  <si>
    <t>MF0502</t>
  </si>
  <si>
    <t>GLENTILT ESTATE</t>
  </si>
  <si>
    <t>Maskeliya 320A</t>
  </si>
  <si>
    <t>Glentilt EstateMaskeliya</t>
  </si>
  <si>
    <t>MF0503</t>
  </si>
  <si>
    <t>Wootton</t>
  </si>
  <si>
    <t>Wootton Estate,Kotagala.</t>
  </si>
  <si>
    <t>MF0504</t>
  </si>
  <si>
    <t>SHEEN</t>
  </si>
  <si>
    <t>PUNDALU OYA</t>
  </si>
  <si>
    <t>Sheen Estate</t>
  </si>
  <si>
    <t>MF0505</t>
  </si>
  <si>
    <t>DEESIDE</t>
  </si>
  <si>
    <t>Glenugie Estate</t>
  </si>
  <si>
    <t>MF0516</t>
  </si>
  <si>
    <t>Morawaka</t>
  </si>
  <si>
    <t>262 A, Weliwa</t>
  </si>
  <si>
    <t>Morawaka Estate,Weliwa,Morawaka.</t>
  </si>
  <si>
    <t>MF0522</t>
  </si>
  <si>
    <t xml:space="preserve">New Roseland </t>
  </si>
  <si>
    <t>Ambadandegama</t>
  </si>
  <si>
    <t>AmbadandegamaBandarawela</t>
  </si>
  <si>
    <t>MF0535</t>
  </si>
  <si>
    <t>Kahatapitiya</t>
  </si>
  <si>
    <t>Kahatapitiya,Batapola.</t>
  </si>
  <si>
    <t>Ambalangoda</t>
  </si>
  <si>
    <t>MF0536</t>
  </si>
  <si>
    <t xml:space="preserve">ST PETERS </t>
  </si>
  <si>
    <t>North Ingiriya</t>
  </si>
  <si>
    <t>Maha IngiriyaIngiriya</t>
  </si>
  <si>
    <t>Ingiriya</t>
  </si>
  <si>
    <t>MF0538</t>
  </si>
  <si>
    <t>LE VALLON</t>
  </si>
  <si>
    <t>Mulgama</t>
  </si>
  <si>
    <t>Levallon GroupPupuressa</t>
  </si>
  <si>
    <t>MF0539</t>
  </si>
  <si>
    <t>MEERAKELLE</t>
  </si>
  <si>
    <t>MF0540</t>
  </si>
  <si>
    <t>Ranmudhu Ella</t>
  </si>
  <si>
    <t>Passaramulla</t>
  </si>
  <si>
    <t>Denagama Estate,Balangoda</t>
  </si>
  <si>
    <t>MF0541</t>
  </si>
  <si>
    <t>BOGAHAWATTE</t>
  </si>
  <si>
    <t>Dimbula</t>
  </si>
  <si>
    <t>Bogahawatta Estate</t>
  </si>
  <si>
    <t>MF0545</t>
  </si>
  <si>
    <t>AGRAKANDE</t>
  </si>
  <si>
    <t>Nagasena</t>
  </si>
  <si>
    <t>Agrakande EstateAgarapathanaNuwara Eliya</t>
  </si>
  <si>
    <t>MF0546</t>
  </si>
  <si>
    <t>Springwood</t>
  </si>
  <si>
    <t xml:space="preserve">Palankotte </t>
  </si>
  <si>
    <t>Springwood EstateRakwana</t>
  </si>
  <si>
    <t>Rakwana</t>
  </si>
  <si>
    <t>MF0548</t>
  </si>
  <si>
    <t>KENILWORTH</t>
  </si>
  <si>
    <t>Rampadeniya</t>
  </si>
  <si>
    <t>Kenilworth EstateGinigathhena</t>
  </si>
  <si>
    <t>MF0552</t>
  </si>
  <si>
    <t xml:space="preserve">WANARAJAH </t>
  </si>
  <si>
    <t>Vanarajah</t>
  </si>
  <si>
    <t>Wanarajah GroupDickoya</t>
  </si>
  <si>
    <t>MF0553</t>
  </si>
  <si>
    <t>MOSSVILLE</t>
  </si>
  <si>
    <t>Alagolla</t>
  </si>
  <si>
    <t>Alugolla</t>
  </si>
  <si>
    <t>Mossville EstateDolosbage</t>
  </si>
  <si>
    <t>MF0556</t>
  </si>
  <si>
    <t>Monte Cristo</t>
  </si>
  <si>
    <t>Dandubendiruppa</t>
  </si>
  <si>
    <t>Gonawala pathala</t>
  </si>
  <si>
    <t>Monte Cristo Estate,Nawalapitiya.</t>
  </si>
  <si>
    <t>MF0557</t>
  </si>
  <si>
    <t>MOUSAKELLIE</t>
  </si>
  <si>
    <t>Mousakelle EstateMaskeliya</t>
  </si>
  <si>
    <t>MF0558</t>
  </si>
  <si>
    <t>GALPHELE</t>
  </si>
  <si>
    <t>Galphele</t>
  </si>
  <si>
    <t>Galphelle EstatePanvila</t>
  </si>
  <si>
    <t>MF0561</t>
  </si>
  <si>
    <t>Cooroondoowatte</t>
  </si>
  <si>
    <t>Malwattagama</t>
  </si>
  <si>
    <t>Pellapitiya</t>
  </si>
  <si>
    <t>Cooroonduwatte EstateKurunduwatte Bazaar,Via Gampola.</t>
  </si>
  <si>
    <t>MF0567</t>
  </si>
  <si>
    <t>GALBODA</t>
  </si>
  <si>
    <t>Tawalantenna</t>
  </si>
  <si>
    <t>Galaboda Estate,Tawalantenna.</t>
  </si>
  <si>
    <t>MF0568</t>
  </si>
  <si>
    <t>BAMBRAKELLY GROUP</t>
  </si>
  <si>
    <t>Rahanwatte</t>
  </si>
  <si>
    <t>Bambarakelley GroupBambarakelley Estate,Lindula.</t>
  </si>
  <si>
    <t>MF0569</t>
  </si>
  <si>
    <t>DESSFORD</t>
  </si>
  <si>
    <t>Dessford Estate</t>
  </si>
  <si>
    <t>MF0570</t>
  </si>
  <si>
    <t xml:space="preserve">Galoola </t>
  </si>
  <si>
    <t>48 B Galoolla</t>
  </si>
  <si>
    <t>Galloola EstateMadulsima</t>
  </si>
  <si>
    <t>MF0572</t>
  </si>
  <si>
    <t xml:space="preserve">Hoptan </t>
  </si>
  <si>
    <t>Hopton Rendapola</t>
  </si>
  <si>
    <t>LunugalaBadulla</t>
  </si>
  <si>
    <t>MF0573</t>
  </si>
  <si>
    <t xml:space="preserve">Rookatenne </t>
  </si>
  <si>
    <t>Mugunumaewatha West</t>
  </si>
  <si>
    <t>Oodoowerre</t>
  </si>
  <si>
    <t>Rookatenna GroupHali ElaBadulla</t>
  </si>
  <si>
    <t>MF0574</t>
  </si>
  <si>
    <t xml:space="preserve">Sapumalkande </t>
  </si>
  <si>
    <t xml:space="preserve">Deloluwa </t>
  </si>
  <si>
    <t>Miyanawita Estate</t>
  </si>
  <si>
    <t>MF0577</t>
  </si>
  <si>
    <t>Waldemar</t>
  </si>
  <si>
    <t>UDAPUSSELLAWA</t>
  </si>
  <si>
    <t>Gomalli</t>
  </si>
  <si>
    <t>Waldemar Estate,Udapussellawa.</t>
  </si>
  <si>
    <t>MF0578</t>
  </si>
  <si>
    <t>ROOKWOOD</t>
  </si>
  <si>
    <t>Rookwood</t>
  </si>
  <si>
    <t>MF0579</t>
  </si>
  <si>
    <t xml:space="preserve">Attampettia </t>
  </si>
  <si>
    <t>Attampittiya</t>
  </si>
  <si>
    <t>Hali EllaBandarawela</t>
  </si>
  <si>
    <t>MF0581</t>
  </si>
  <si>
    <t xml:space="preserve">Aislaby </t>
  </si>
  <si>
    <t>Aislaby</t>
  </si>
  <si>
    <t>Aislaby  Estate, Bandarawela</t>
  </si>
  <si>
    <t>MF0582</t>
  </si>
  <si>
    <t>CRAIGFOREST</t>
  </si>
  <si>
    <t>MF0584</t>
  </si>
  <si>
    <t>Fairlawn</t>
  </si>
  <si>
    <t>Alton</t>
  </si>
  <si>
    <t>Fairlawn EstateMinicing LaneUpcot</t>
  </si>
  <si>
    <t>MF0586</t>
  </si>
  <si>
    <t>New Burgh Green Tea</t>
  </si>
  <si>
    <t>Yahalewela</t>
  </si>
  <si>
    <t>Yahalatenna</t>
  </si>
  <si>
    <t>Ella.Badulla</t>
  </si>
  <si>
    <t>MF0587</t>
  </si>
  <si>
    <t xml:space="preserve">Queenstown </t>
  </si>
  <si>
    <t>MF0594</t>
  </si>
  <si>
    <t xml:space="preserve">Boscombe </t>
  </si>
  <si>
    <t>Miriswatta</t>
  </si>
  <si>
    <t>Miriswatta,Balangoda.</t>
  </si>
  <si>
    <t>MF0595</t>
  </si>
  <si>
    <t>Dickoya EstateDick Oya</t>
  </si>
  <si>
    <t>MF0596</t>
  </si>
  <si>
    <t xml:space="preserve">Adawatte </t>
  </si>
  <si>
    <t>Arawakumbura</t>
  </si>
  <si>
    <t>MF0597</t>
  </si>
  <si>
    <t>KATABOOLA</t>
  </si>
  <si>
    <t>Nawanagaraya Kothmale</t>
  </si>
  <si>
    <t>Kataboola EstateKataboola</t>
  </si>
  <si>
    <t>MF0598</t>
  </si>
  <si>
    <t xml:space="preserve">Shawlands </t>
  </si>
  <si>
    <t>94 G Sumudugama</t>
  </si>
  <si>
    <t>Lunugalla</t>
  </si>
  <si>
    <t>Showlands Tea FactoryLunugala</t>
  </si>
  <si>
    <t>MF0600</t>
  </si>
  <si>
    <t xml:space="preserve">Alupola </t>
  </si>
  <si>
    <t xml:space="preserve">Bambarabotuwa </t>
  </si>
  <si>
    <t>Alupola EstateWewelwatte,Via Ratnapura.</t>
  </si>
  <si>
    <t>MF0602</t>
  </si>
  <si>
    <t>Delta</t>
  </si>
  <si>
    <t>Delta EstatePupuressa.</t>
  </si>
  <si>
    <t>MF0603</t>
  </si>
  <si>
    <t>ARATANNE</t>
  </si>
  <si>
    <t>Arathana</t>
  </si>
  <si>
    <t>Arathanne Estate,Madukele.</t>
  </si>
  <si>
    <t>MF0604</t>
  </si>
  <si>
    <t>LOOLECONDERA GROUP</t>
  </si>
  <si>
    <t>Delthota</t>
  </si>
  <si>
    <t>Loolcondra GroupDeltota</t>
  </si>
  <si>
    <t>MF0605</t>
  </si>
  <si>
    <t>NIRIELLA</t>
  </si>
  <si>
    <t>MF0606</t>
  </si>
  <si>
    <t>NILLOOMALLE</t>
  </si>
  <si>
    <t>MADULKELLEKELEBOKKAPANWILAKANDY</t>
  </si>
  <si>
    <t>MF0607</t>
  </si>
  <si>
    <t>Stellenberg</t>
  </si>
  <si>
    <t>Stellenberg Estate,  Pupuressa</t>
  </si>
  <si>
    <t>MF0608</t>
  </si>
  <si>
    <t>CRAIGHEAD</t>
  </si>
  <si>
    <t>Pitakanda</t>
  </si>
  <si>
    <t>Udahentenna</t>
  </si>
  <si>
    <t>Craighead EstateNawalapitiya</t>
  </si>
  <si>
    <t>MF0609</t>
  </si>
  <si>
    <t>OUVAHKELLIE</t>
  </si>
  <si>
    <t>Lippakelle 476</t>
  </si>
  <si>
    <t>Maria</t>
  </si>
  <si>
    <t>Ouvahkellie EstateAgarapathana</t>
  </si>
  <si>
    <t>MF0610</t>
  </si>
  <si>
    <t>Kotmale Tea Shakthi</t>
  </si>
  <si>
    <t>Thispane</t>
  </si>
  <si>
    <t>Tispane</t>
  </si>
  <si>
    <t>Nawa tispaneTispane</t>
  </si>
  <si>
    <t>MF0612</t>
  </si>
  <si>
    <t>Maturata</t>
  </si>
  <si>
    <t>Bingantalawa</t>
  </si>
  <si>
    <t>Maturata Estate,Kandapola.</t>
  </si>
  <si>
    <t>MF0614</t>
  </si>
  <si>
    <t>MADAMPE</t>
  </si>
  <si>
    <t>weralugahamula</t>
  </si>
  <si>
    <t>Madampe EstateRakwana</t>
  </si>
  <si>
    <t>MF0615</t>
  </si>
  <si>
    <t>MAHAOUSA</t>
  </si>
  <si>
    <t>Mahapatana</t>
  </si>
  <si>
    <t>Mahaousa EstateMadulkelle</t>
  </si>
  <si>
    <t>MF0616</t>
  </si>
  <si>
    <t>Dartry</t>
  </si>
  <si>
    <t>1165-Amunupura</t>
  </si>
  <si>
    <t>Angammana</t>
  </si>
  <si>
    <t>Nuwara Eliya Road,Darty Estate, Angammana,Gampola.</t>
  </si>
  <si>
    <t>MF0617</t>
  </si>
  <si>
    <t xml:space="preserve">POYSTON </t>
  </si>
  <si>
    <t>Tillery</t>
  </si>
  <si>
    <t>Poyston EstateDickoya</t>
  </si>
  <si>
    <t>MF0618</t>
  </si>
  <si>
    <t>YUILLEFIELD</t>
  </si>
  <si>
    <t>Hatton</t>
  </si>
  <si>
    <t>MF0619</t>
  </si>
  <si>
    <t>GALABODDA</t>
  </si>
  <si>
    <t>Galaboda</t>
  </si>
  <si>
    <t>Galboda Tea FactoryRatnapura</t>
  </si>
  <si>
    <t>MF0620</t>
  </si>
  <si>
    <t>GALATHURA</t>
  </si>
  <si>
    <t>Meda Galathuta</t>
  </si>
  <si>
    <t>Galatara</t>
  </si>
  <si>
    <t>Meda GalathutaAyagamaRatnapura</t>
  </si>
  <si>
    <t>Ayagama</t>
  </si>
  <si>
    <t>MF0621</t>
  </si>
  <si>
    <t xml:space="preserve">Warwick </t>
  </si>
  <si>
    <t>HEWANAKUBURA</t>
  </si>
  <si>
    <t>Ambewela</t>
  </si>
  <si>
    <t>Welimada</t>
  </si>
  <si>
    <t>MF0623</t>
  </si>
  <si>
    <t>MEDDAKANDE</t>
  </si>
  <si>
    <t>Welekumbura</t>
  </si>
  <si>
    <t>Maddakanda EstateBalangoda</t>
  </si>
  <si>
    <t>MF0624</t>
  </si>
  <si>
    <t>Wikiliya</t>
  </si>
  <si>
    <t>Depalamulla</t>
  </si>
  <si>
    <t>Depalamulla,Balangda.</t>
  </si>
  <si>
    <t>MF0625</t>
  </si>
  <si>
    <t>NEW RASAGALLA</t>
  </si>
  <si>
    <t>Rasgalla EstateBalangoda</t>
  </si>
  <si>
    <t>MF0626</t>
  </si>
  <si>
    <t>HALGOLLE</t>
  </si>
  <si>
    <t>Amunuwala</t>
  </si>
  <si>
    <t>Halgolla Estate,Mallalpola,Yatiyantota.</t>
  </si>
  <si>
    <t>MF0628</t>
  </si>
  <si>
    <t>MEDDAGEDARA</t>
  </si>
  <si>
    <t>Narawila</t>
  </si>
  <si>
    <t>Maddegedara Estate,Matugama</t>
  </si>
  <si>
    <t>MF0629</t>
  </si>
  <si>
    <t>DELTOTTE</t>
  </si>
  <si>
    <t>Deltota Group</t>
  </si>
  <si>
    <t>MF0634</t>
  </si>
  <si>
    <t>Alagalla</t>
  </si>
  <si>
    <t>Manikdiwela,Poththapitiya.</t>
  </si>
  <si>
    <t>MF0636</t>
  </si>
  <si>
    <t xml:space="preserve">Tonacombe </t>
  </si>
  <si>
    <t>Tonocomb</t>
  </si>
  <si>
    <t>MF0637</t>
  </si>
  <si>
    <t xml:space="preserve">Oodoowere </t>
  </si>
  <si>
    <t xml:space="preserve">Kirinda </t>
  </si>
  <si>
    <t>Walabedda</t>
  </si>
  <si>
    <t>Oodoowerre EstateDemodara</t>
  </si>
  <si>
    <t>MF0639</t>
  </si>
  <si>
    <t xml:space="preserve">Oonoogaloya </t>
  </si>
  <si>
    <t>Oonoogaloya-01</t>
  </si>
  <si>
    <t>Ooonoogaloya</t>
  </si>
  <si>
    <t>KothmaleNuwara Eliya</t>
  </si>
  <si>
    <t>MF0642</t>
  </si>
  <si>
    <t>BROADLANDS</t>
  </si>
  <si>
    <t>Millagahamula</t>
  </si>
  <si>
    <t>Pitawala</t>
  </si>
  <si>
    <t>Brolands estatePitawala</t>
  </si>
  <si>
    <t>TSHFL</t>
  </si>
  <si>
    <t>MF0643</t>
  </si>
  <si>
    <t>SANDRINGHAM</t>
  </si>
  <si>
    <t>DIYAGAMA</t>
  </si>
  <si>
    <t>Sandringham EstateAgarapathana</t>
  </si>
  <si>
    <t>MF0645</t>
  </si>
  <si>
    <t>ALBION</t>
  </si>
  <si>
    <t>Albion Estate Agarapatana</t>
  </si>
  <si>
    <t>MF0646</t>
  </si>
  <si>
    <t xml:space="preserve">Torrington </t>
  </si>
  <si>
    <t>Elbedda</t>
  </si>
  <si>
    <t>Torrington Estate Agra Pathana</t>
  </si>
  <si>
    <t>MF0647</t>
  </si>
  <si>
    <t>UDA RADELLA</t>
  </si>
  <si>
    <t>Uda Radella EstateNanu Oya</t>
  </si>
  <si>
    <t>YATIYANTHOTA</t>
  </si>
  <si>
    <t>MF0648</t>
  </si>
  <si>
    <t>WE OYA</t>
  </si>
  <si>
    <t>Weli Oya</t>
  </si>
  <si>
    <t>MF0655</t>
  </si>
  <si>
    <t>Baddegama Town</t>
  </si>
  <si>
    <t xml:space="preserve">Baddegama Estate,Baddegama </t>
  </si>
  <si>
    <t>MF0656</t>
  </si>
  <si>
    <t>LOWER DONSIDE</t>
  </si>
  <si>
    <t>Malanda</t>
  </si>
  <si>
    <t>Lower Donside EstateNawalapitiya</t>
  </si>
  <si>
    <t>MF0657</t>
  </si>
  <si>
    <t xml:space="preserve">MADULKELLE </t>
  </si>
  <si>
    <t>Madukelle</t>
  </si>
  <si>
    <t>Madulkelle EstatePanwi;aKandy</t>
  </si>
  <si>
    <t>MF0658</t>
  </si>
  <si>
    <t>PITAKANDE</t>
  </si>
  <si>
    <t>Pitakanda Group</t>
  </si>
  <si>
    <t>MF0659</t>
  </si>
  <si>
    <t>RYE</t>
  </si>
  <si>
    <t>Oluganthota</t>
  </si>
  <si>
    <t>Rye EstateBalangoda</t>
  </si>
  <si>
    <t>MF0663</t>
  </si>
  <si>
    <t>BogawantalawaBogawanthalawa</t>
  </si>
  <si>
    <t>MF0664</t>
  </si>
  <si>
    <t>BREAMORE</t>
  </si>
  <si>
    <t>Braemore</t>
  </si>
  <si>
    <t>MF0667</t>
  </si>
  <si>
    <t xml:space="preserve">Glen Alpin Group </t>
  </si>
  <si>
    <t xml:space="preserve">80 H Udawela </t>
  </si>
  <si>
    <t>Glen Alpin EstateBadulla</t>
  </si>
  <si>
    <t>MF0668</t>
  </si>
  <si>
    <t xml:space="preserve">Hindagala </t>
  </si>
  <si>
    <t>Hindagalla GroupElla.Namunukula.</t>
  </si>
  <si>
    <t>MF0669</t>
  </si>
  <si>
    <t xml:space="preserve">Ledgerwatte </t>
  </si>
  <si>
    <t>Narangala</t>
  </si>
  <si>
    <t>Ledgerwatte GroupNarangala</t>
  </si>
  <si>
    <t>Kandeketiya</t>
  </si>
  <si>
    <t>MF0670</t>
  </si>
  <si>
    <t xml:space="preserve">GARTMORE </t>
  </si>
  <si>
    <t>MOcha</t>
  </si>
  <si>
    <t>Uda Bulathgama</t>
  </si>
  <si>
    <t>Gartmore GroupMaskeliya</t>
  </si>
  <si>
    <t>MF0672</t>
  </si>
  <si>
    <t>HUNASGIRIYA</t>
  </si>
  <si>
    <t>Hunasgiriya</t>
  </si>
  <si>
    <t>Imbulpitiya</t>
  </si>
  <si>
    <t>Hunnasgiriya EstateElkaduwa</t>
  </si>
  <si>
    <t>MF0673</t>
  </si>
  <si>
    <t xml:space="preserve">Mooloya </t>
  </si>
  <si>
    <t>Mooloya</t>
  </si>
  <si>
    <t>Mooloya Estate174,Hewaheta</t>
  </si>
  <si>
    <t>MF0674</t>
  </si>
  <si>
    <t>MAYFIELD</t>
  </si>
  <si>
    <t>Kuduoya</t>
  </si>
  <si>
    <t>MF0675</t>
  </si>
  <si>
    <t xml:space="preserve">Nichola Oya </t>
  </si>
  <si>
    <t>Nichola Oya State PlantationRattota</t>
  </si>
  <si>
    <t>MF0677</t>
  </si>
  <si>
    <t xml:space="preserve">Spring  Valley Group </t>
  </si>
  <si>
    <t>86 B Spring Valley</t>
  </si>
  <si>
    <t>MF0678</t>
  </si>
  <si>
    <t xml:space="preserve">Telebedde </t>
  </si>
  <si>
    <t>81 B Thelbedde</t>
  </si>
  <si>
    <t>Telbedda</t>
  </si>
  <si>
    <t>TelbeddaBadulla</t>
  </si>
  <si>
    <t>MF0680</t>
  </si>
  <si>
    <t>WEYGALLA</t>
  </si>
  <si>
    <t>MF0683</t>
  </si>
  <si>
    <t xml:space="preserve">Craig </t>
  </si>
  <si>
    <t xml:space="preserve">66 C Craig </t>
  </si>
  <si>
    <t>Punagala</t>
  </si>
  <si>
    <t>Craig EstateBandarawela</t>
  </si>
  <si>
    <t>MF0686</t>
  </si>
  <si>
    <t>Keragala</t>
  </si>
  <si>
    <t>Keeragala</t>
  </si>
  <si>
    <t>Keragalla EstateKuruvita</t>
  </si>
  <si>
    <t>Kuruwita</t>
  </si>
  <si>
    <t>MF0689</t>
  </si>
  <si>
    <t>LAXAPANA</t>
  </si>
  <si>
    <t>Laxapana GroupMaskeliya</t>
  </si>
  <si>
    <t>MF0690</t>
  </si>
  <si>
    <t>Maha Eliya</t>
  </si>
  <si>
    <t>Perakumpura</t>
  </si>
  <si>
    <t>Calsay Maha Eliya EstateNanu - Oya</t>
  </si>
  <si>
    <t>MF0692</t>
  </si>
  <si>
    <t>WALTRIM</t>
  </si>
  <si>
    <t>LindulaThalawakelleNuwara Eliya</t>
  </si>
  <si>
    <t>MF0694</t>
  </si>
  <si>
    <t>KANDALOYA</t>
  </si>
  <si>
    <t>Berannawa</t>
  </si>
  <si>
    <t>Karawanella</t>
  </si>
  <si>
    <t>MF0696</t>
  </si>
  <si>
    <t>Kelliewatte</t>
  </si>
  <si>
    <t>Bogahawatte</t>
  </si>
  <si>
    <t>Kelliewatte EstateKotagala</t>
  </si>
  <si>
    <t>MF0697</t>
  </si>
  <si>
    <t xml:space="preserve">Nayapane </t>
  </si>
  <si>
    <t>Kakulanda</t>
  </si>
  <si>
    <t>Kekulanda</t>
  </si>
  <si>
    <t>Nayapane EstatePussellawa</t>
  </si>
  <si>
    <t>MF0703</t>
  </si>
  <si>
    <t>CAMPION</t>
  </si>
  <si>
    <t>Bogawantalawa</t>
  </si>
  <si>
    <t>Champion EstateBogawantalawa</t>
  </si>
  <si>
    <t>MF0704</t>
  </si>
  <si>
    <t>Kotaganga</t>
  </si>
  <si>
    <t>Cottaganga</t>
  </si>
  <si>
    <t>Cottaganga EstateRangala</t>
  </si>
  <si>
    <t>Meda Dumbara</t>
  </si>
  <si>
    <t>MF0705</t>
  </si>
  <si>
    <t>HAUTALE VALLEY</t>
  </si>
  <si>
    <t>MF0707</t>
  </si>
  <si>
    <t>New Doragala</t>
  </si>
  <si>
    <t>Doragala,Gampola.</t>
  </si>
  <si>
    <t>MF0709</t>
  </si>
  <si>
    <t>Mahacoodagalla</t>
  </si>
  <si>
    <t>Halgranoya</t>
  </si>
  <si>
    <t>Mahacoodagalla Estate,Halgranoya.</t>
  </si>
  <si>
    <t>MF0711</t>
  </si>
  <si>
    <t>BEARWELL</t>
  </si>
  <si>
    <t>Bearwell</t>
  </si>
  <si>
    <t>Bearwell EstateTalawakelle</t>
  </si>
  <si>
    <t>MF0712</t>
  </si>
  <si>
    <t xml:space="preserve">Blaierlomond </t>
  </si>
  <si>
    <t>Ellanda Wasama</t>
  </si>
  <si>
    <t>Udu Pussellawa</t>
  </si>
  <si>
    <t>Udupussellawa Road</t>
  </si>
  <si>
    <t>MF0713</t>
  </si>
  <si>
    <t>Millington</t>
  </si>
  <si>
    <t>KOTAGALA</t>
  </si>
  <si>
    <t>Harrington EstateKotagala</t>
  </si>
  <si>
    <t>MF0714</t>
  </si>
  <si>
    <t>LIPPAKELLE</t>
  </si>
  <si>
    <t>Lippakelie</t>
  </si>
  <si>
    <t>Lipakelle EstateLindula</t>
  </si>
  <si>
    <t>MF0715</t>
  </si>
  <si>
    <t>MOUSA ELLA</t>
  </si>
  <si>
    <t>Ildanhall</t>
  </si>
  <si>
    <t>TalawakelleLindula</t>
  </si>
  <si>
    <t>MF0720</t>
  </si>
  <si>
    <t xml:space="preserve">Gonamotava </t>
  </si>
  <si>
    <t>Obodaella</t>
  </si>
  <si>
    <t>Gonamotawa EstateHaputale</t>
  </si>
  <si>
    <t>MF0721</t>
  </si>
  <si>
    <t>Goomera</t>
  </si>
  <si>
    <t>ThawalantennaPanwila.</t>
  </si>
  <si>
    <t>MF0722</t>
  </si>
  <si>
    <t>HATALE</t>
  </si>
  <si>
    <t>Hatale</t>
  </si>
  <si>
    <t>Hathale</t>
  </si>
  <si>
    <t>HathalePanvilaKandy</t>
  </si>
  <si>
    <t>MF0723</t>
  </si>
  <si>
    <t>HEMINGFORD</t>
  </si>
  <si>
    <t>MF0724</t>
  </si>
  <si>
    <t>MIDLANDS</t>
  </si>
  <si>
    <t>Madawatte</t>
  </si>
  <si>
    <t>Weralugastenna</t>
  </si>
  <si>
    <t>Midlands EstateRattota</t>
  </si>
  <si>
    <t>MF0725</t>
  </si>
  <si>
    <t>PENRITH</t>
  </si>
  <si>
    <t>COLOMBO</t>
  </si>
  <si>
    <t>MF0726</t>
  </si>
  <si>
    <t>ELKADUWA</t>
  </si>
  <si>
    <t>Elkaduwa EstateMatale</t>
  </si>
  <si>
    <t>MF0729</t>
  </si>
  <si>
    <t>RAGALLA GROUP</t>
  </si>
  <si>
    <t>Ragala</t>
  </si>
  <si>
    <t>Ragalla EstateHalgranoya</t>
  </si>
  <si>
    <t>MF0735</t>
  </si>
  <si>
    <t xml:space="preserve">Palagala </t>
  </si>
  <si>
    <t>Raxawa Estate,Dolosbage.</t>
  </si>
  <si>
    <t>MF0736</t>
  </si>
  <si>
    <t>Hulandawa</t>
  </si>
  <si>
    <t>Hulandawa Estate,Akuressa.</t>
  </si>
  <si>
    <t>MF0739</t>
  </si>
  <si>
    <t xml:space="preserve">Kirklees </t>
  </si>
  <si>
    <t>38 E Kirklees</t>
  </si>
  <si>
    <t>Uda Pussallawa.</t>
  </si>
  <si>
    <t>MF0742</t>
  </si>
  <si>
    <t>Gonatipolla</t>
  </si>
  <si>
    <t>Ethkandura</t>
  </si>
  <si>
    <t>Karandeniya</t>
  </si>
  <si>
    <t>MF0751</t>
  </si>
  <si>
    <t>Thisara</t>
  </si>
  <si>
    <t>Halpathota</t>
  </si>
  <si>
    <t>Halpathota,Baddegama,Galle.</t>
  </si>
  <si>
    <t>MF0754</t>
  </si>
  <si>
    <t xml:space="preserve">Uva Haputale Valley </t>
  </si>
  <si>
    <t xml:space="preserve">Horadoruwwa </t>
  </si>
  <si>
    <t>Horadoruwa</t>
  </si>
  <si>
    <t>Horadoruwa,Haputale</t>
  </si>
  <si>
    <t>MF0756</t>
  </si>
  <si>
    <t xml:space="preserve">Dodangaha </t>
  </si>
  <si>
    <t>Wattehena</t>
  </si>
  <si>
    <t>Wattehene</t>
  </si>
  <si>
    <t>WattehenaTalgaswala</t>
  </si>
  <si>
    <t>MF0760</t>
  </si>
  <si>
    <t>Elaudawila</t>
  </si>
  <si>
    <t>WaduwelivitiyaBaddegama</t>
  </si>
  <si>
    <t>MF0767</t>
  </si>
  <si>
    <t xml:space="preserve">TILLYRIE </t>
  </si>
  <si>
    <t>Poiston</t>
  </si>
  <si>
    <t>Tillyrie EstateDick Oya</t>
  </si>
  <si>
    <t>MF0769</t>
  </si>
  <si>
    <t>ALTON</t>
  </si>
  <si>
    <t>320J Upcot</t>
  </si>
  <si>
    <t>Alton Tea FactoryUpcot</t>
  </si>
  <si>
    <t>MF0770</t>
  </si>
  <si>
    <t>TANGAKELLE</t>
  </si>
  <si>
    <t>Tangakelle</t>
  </si>
  <si>
    <t>Tangakelle EstateLindula</t>
  </si>
  <si>
    <t>MF0771</t>
  </si>
  <si>
    <t>WAVERLY</t>
  </si>
  <si>
    <t>Waverley GroupAgarapathana</t>
  </si>
  <si>
    <t>MF0772</t>
  </si>
  <si>
    <t>HOLYROOD</t>
  </si>
  <si>
    <t>Thalawakele</t>
  </si>
  <si>
    <t>Holyrood EstateThalawakelle</t>
  </si>
  <si>
    <t>MF0777</t>
  </si>
  <si>
    <t xml:space="preserve">Pita Rathmalie </t>
  </si>
  <si>
    <t>64 D Pitarathmale</t>
  </si>
  <si>
    <t>Haputalegama</t>
  </si>
  <si>
    <t>Pitartamalle EstateHaputale</t>
  </si>
  <si>
    <t>MF0778</t>
  </si>
  <si>
    <t>KABARAGALLA</t>
  </si>
  <si>
    <t>Kabaragalla EstatePadiyapalalla.</t>
  </si>
  <si>
    <t>MF0779</t>
  </si>
  <si>
    <t>SOMERSET</t>
  </si>
  <si>
    <t>Kirimetiya</t>
  </si>
  <si>
    <t>Somerset estateUdahentenne</t>
  </si>
  <si>
    <t>MF0780</t>
  </si>
  <si>
    <t xml:space="preserve">HOUPE </t>
  </si>
  <si>
    <t>Haoupe</t>
  </si>
  <si>
    <t>Houpe EstateKahawatte</t>
  </si>
  <si>
    <t>MF0782</t>
  </si>
  <si>
    <t>Beaumont</t>
  </si>
  <si>
    <t>Pupuress</t>
  </si>
  <si>
    <t>Beaument GroupPupuressa</t>
  </si>
  <si>
    <t>MF0784</t>
  </si>
  <si>
    <t>RADELLA</t>
  </si>
  <si>
    <t>Radella EstateNano OyaNuwara Eliya</t>
  </si>
  <si>
    <t>MF0790</t>
  </si>
  <si>
    <t>STRATHDON</t>
  </si>
  <si>
    <t>Panmore</t>
  </si>
  <si>
    <t>Strathedan Tea EstateHatton</t>
  </si>
  <si>
    <t>MF0791</t>
  </si>
  <si>
    <t>TEMPLESTOWE</t>
  </si>
  <si>
    <t>Pasbage</t>
  </si>
  <si>
    <t>Dekida</t>
  </si>
  <si>
    <t>Templestove EstateRozella</t>
  </si>
  <si>
    <t>MF0798</t>
  </si>
  <si>
    <t>YARROW</t>
  </si>
  <si>
    <t>MF0799</t>
  </si>
  <si>
    <t>HARE PARK</t>
  </si>
  <si>
    <t>Hare Park EstateHunnasgiriya</t>
  </si>
  <si>
    <t>Uda Dumbara</t>
  </si>
  <si>
    <t>MF0800</t>
  </si>
  <si>
    <t>Golden Hill</t>
  </si>
  <si>
    <t>Oyalakanda</t>
  </si>
  <si>
    <t>Kovilakanda Road,Wattappola.</t>
  </si>
  <si>
    <t>MF0801</t>
  </si>
  <si>
    <t xml:space="preserve">HAPUGASTENNE </t>
  </si>
  <si>
    <t>Hapugastenne</t>
  </si>
  <si>
    <t>MF0802</t>
  </si>
  <si>
    <t xml:space="preserve">Deniyaya </t>
  </si>
  <si>
    <t>KotapolaDeniyayaMatara</t>
  </si>
  <si>
    <t>MF0808</t>
  </si>
  <si>
    <t xml:space="preserve">Chelsea </t>
  </si>
  <si>
    <t>Piyarapandowa</t>
  </si>
  <si>
    <t>Katugla</t>
  </si>
  <si>
    <t>Chelsea EstateEllaBadulla</t>
  </si>
  <si>
    <t>MF0815</t>
  </si>
  <si>
    <t>Walahanduwa Tea Shakthi</t>
  </si>
  <si>
    <t>Walahanduwa</t>
  </si>
  <si>
    <t>Walanduwa ,Galle.</t>
  </si>
  <si>
    <t>MF0816</t>
  </si>
  <si>
    <t>Waleboda</t>
  </si>
  <si>
    <t>Kattadikanda</t>
  </si>
  <si>
    <t>KattadikandaImbulgodaRatnapura</t>
  </si>
  <si>
    <t>MF0817</t>
  </si>
  <si>
    <t xml:space="preserve">Yahalatenne </t>
  </si>
  <si>
    <t>Yahalatenne</t>
  </si>
  <si>
    <t>Yahalatenna EstateWarallagama</t>
  </si>
  <si>
    <t>MF0818</t>
  </si>
  <si>
    <t>KALUPANE</t>
  </si>
  <si>
    <t>Udugoda</t>
  </si>
  <si>
    <t>Bulathkohupitiya.</t>
  </si>
  <si>
    <t>MF0821</t>
  </si>
  <si>
    <t xml:space="preserve">Glenanore </t>
  </si>
  <si>
    <t>64 F Glenanore</t>
  </si>
  <si>
    <t>Glenanore EstateHaputaleBadulla</t>
  </si>
  <si>
    <t>MF0823</t>
  </si>
  <si>
    <t>Aroma</t>
  </si>
  <si>
    <t>Honangada</t>
  </si>
  <si>
    <t>DELTHOTAKANDY</t>
  </si>
  <si>
    <t>MF0825</t>
  </si>
  <si>
    <t xml:space="preserve">Ambagasdowa </t>
  </si>
  <si>
    <t>Welimada Watte</t>
  </si>
  <si>
    <t>Alupola</t>
  </si>
  <si>
    <t>Welimada GroupWelimada</t>
  </si>
  <si>
    <t>MF0826</t>
  </si>
  <si>
    <t xml:space="preserve">Hakgala </t>
  </si>
  <si>
    <t>Borasas</t>
  </si>
  <si>
    <t>Nuwara Eliya Rd, Hakkagala</t>
  </si>
  <si>
    <t>MF0829</t>
  </si>
  <si>
    <t>EILDON HALL</t>
  </si>
  <si>
    <t>Eildon EstateLindula</t>
  </si>
  <si>
    <t>MF0833</t>
  </si>
  <si>
    <t>North Punduloya</t>
  </si>
  <si>
    <t>Pundaluoya 468/E</t>
  </si>
  <si>
    <t>Pundalu Oya</t>
  </si>
  <si>
    <t>Punduloya</t>
  </si>
  <si>
    <t>MF0835</t>
  </si>
  <si>
    <t>Harangalla</t>
  </si>
  <si>
    <t>Thelissagala</t>
  </si>
  <si>
    <t>Kataboola viaNawalapitiya</t>
  </si>
  <si>
    <t>MF0836</t>
  </si>
  <si>
    <t xml:space="preserve">SANQUHAR </t>
  </si>
  <si>
    <t>Palegama</t>
  </si>
  <si>
    <t>Attabage</t>
  </si>
  <si>
    <t>Sanquhar Estate,Paradeka.</t>
  </si>
  <si>
    <t>MF0838</t>
  </si>
  <si>
    <t>Millakande</t>
  </si>
  <si>
    <t>MF0840</t>
  </si>
  <si>
    <t>VENTURE</t>
  </si>
  <si>
    <t>Venture</t>
  </si>
  <si>
    <t>Norwood GroupAmbagamuwaNuwara Eliya</t>
  </si>
  <si>
    <t>MF0842</t>
  </si>
  <si>
    <t>Maligakanda</t>
  </si>
  <si>
    <t>Galatha</t>
  </si>
  <si>
    <t>Galatha,Gampola.</t>
  </si>
  <si>
    <t>MF0844</t>
  </si>
  <si>
    <t>PITIGALA</t>
  </si>
  <si>
    <t>Pitigala</t>
  </si>
  <si>
    <t>Indurupathwila, Pitigala</t>
  </si>
  <si>
    <t>MF0856</t>
  </si>
  <si>
    <t>LONACH GROUP</t>
  </si>
  <si>
    <t>MF0861</t>
  </si>
  <si>
    <t>Waulugala</t>
  </si>
  <si>
    <t>Haupe</t>
  </si>
  <si>
    <t>Waulugala Group ,HaupeImaduwa</t>
  </si>
  <si>
    <t>Imaduwa</t>
  </si>
  <si>
    <t>MF0862</t>
  </si>
  <si>
    <t>Weewarugoda</t>
  </si>
  <si>
    <t>Nabadawa</t>
  </si>
  <si>
    <t>NabadawaYakkalamullaGalle</t>
  </si>
  <si>
    <t>MF0864</t>
  </si>
  <si>
    <t>Mahavila</t>
  </si>
  <si>
    <t>Kalugalhinna</t>
  </si>
  <si>
    <t>Mahavilla,Ulapane.</t>
  </si>
  <si>
    <t>MF0866</t>
  </si>
  <si>
    <t xml:space="preserve">West Hall </t>
  </si>
  <si>
    <t>Westhall</t>
  </si>
  <si>
    <t>West Hall EstateKotmale</t>
  </si>
  <si>
    <t>MF0878</t>
  </si>
  <si>
    <t>Havenwewa</t>
  </si>
  <si>
    <t>Kadadorapitiya</t>
  </si>
  <si>
    <t>Pundaluoya South</t>
  </si>
  <si>
    <t>MF0881</t>
  </si>
  <si>
    <t>MF0886</t>
  </si>
  <si>
    <t>MELFORT</t>
  </si>
  <si>
    <t>Melfort EstatePussellawa</t>
  </si>
  <si>
    <t>MF0890</t>
  </si>
  <si>
    <t>ST THERESIA</t>
  </si>
  <si>
    <t>Theresia EstateBogawanthalawa</t>
  </si>
  <si>
    <t>MF0895</t>
  </si>
  <si>
    <t xml:space="preserve">Dotel Oya </t>
  </si>
  <si>
    <t>Gantuna-Medagama</t>
  </si>
  <si>
    <t>Ganthuna</t>
  </si>
  <si>
    <t>Dotaloya GroupDolosbage</t>
  </si>
  <si>
    <t>MF0897</t>
  </si>
  <si>
    <t xml:space="preserve">DUCKWARI </t>
  </si>
  <si>
    <t>Randiwela</t>
  </si>
  <si>
    <t>Waradiwela</t>
  </si>
  <si>
    <t>Duckwari Estate,Rangala</t>
  </si>
  <si>
    <t>Theldeniya</t>
  </si>
  <si>
    <t>MF0899</t>
  </si>
  <si>
    <t xml:space="preserve">Koslanda </t>
  </si>
  <si>
    <t xml:space="preserve">Haldummulla </t>
  </si>
  <si>
    <t>Koslanda EstateNo 86Etampitiya</t>
  </si>
  <si>
    <t>MF0901</t>
  </si>
  <si>
    <t>AKERELLA</t>
  </si>
  <si>
    <t>Opanayake.</t>
  </si>
  <si>
    <t>MF0902</t>
  </si>
  <si>
    <t>WEDDEMULLA</t>
  </si>
  <si>
    <t>Wedamulla</t>
  </si>
  <si>
    <t>Weddamulla</t>
  </si>
  <si>
    <t>Wedamulla EstateRamboda</t>
  </si>
  <si>
    <t>MF0903</t>
  </si>
  <si>
    <t>Maliboda</t>
  </si>
  <si>
    <t>UDA MALIBODA</t>
  </si>
  <si>
    <t>Maliboda Estate,Maliboda.</t>
  </si>
  <si>
    <t>MF0905</t>
  </si>
  <si>
    <t xml:space="preserve">Millavitiya </t>
  </si>
  <si>
    <t>SAMANGAMA</t>
  </si>
  <si>
    <t>Millawitiya EstateRatnapura</t>
  </si>
  <si>
    <t>Elapatha</t>
  </si>
  <si>
    <t>MF0906</t>
  </si>
  <si>
    <t>Palm Garden</t>
  </si>
  <si>
    <t>Rathnapura New town</t>
  </si>
  <si>
    <t>Palm Garden EstateRatnapura</t>
  </si>
  <si>
    <t>MF0907</t>
  </si>
  <si>
    <t>KATANDOLA</t>
  </si>
  <si>
    <t>KETANDOLA</t>
  </si>
  <si>
    <t>Katandola</t>
  </si>
  <si>
    <t>Katandola EstateElpitiya</t>
  </si>
  <si>
    <t>MF0908</t>
  </si>
  <si>
    <t xml:space="preserve">Captain Garden </t>
  </si>
  <si>
    <t>Amalagana</t>
  </si>
  <si>
    <t>Amalgama</t>
  </si>
  <si>
    <t>Gonamulla Junction,Galle.</t>
  </si>
  <si>
    <t>MF0909</t>
  </si>
  <si>
    <t>Allerton</t>
  </si>
  <si>
    <t>Rakwana South</t>
  </si>
  <si>
    <t>Deniyaya RoadRakwana</t>
  </si>
  <si>
    <t>MF0910</t>
  </si>
  <si>
    <t xml:space="preserve">Beauvais </t>
  </si>
  <si>
    <t>62G MALIGHATENNE</t>
  </si>
  <si>
    <t>IdulgashinnaWelimadaBandarawela</t>
  </si>
  <si>
    <t>MF0911</t>
  </si>
  <si>
    <t>DUMBARA</t>
  </si>
  <si>
    <t>MINIPURA DUMBARA</t>
  </si>
  <si>
    <t>Dumbara</t>
  </si>
  <si>
    <t>Minipura,Dumbara.</t>
  </si>
  <si>
    <t>MF0912</t>
  </si>
  <si>
    <t>Vardhana</t>
  </si>
  <si>
    <t>Baranduwa</t>
  </si>
  <si>
    <t>Berenduwa</t>
  </si>
  <si>
    <t>Lellopitiya Estate,Lellopitiya,Ratnapura.</t>
  </si>
  <si>
    <t>MF0918</t>
  </si>
  <si>
    <t>STAFFORD</t>
  </si>
  <si>
    <t>MF0921</t>
  </si>
  <si>
    <t>Wicklow Hills</t>
  </si>
  <si>
    <t>GULUGAHAKANDA 221B</t>
  </si>
  <si>
    <t>Wanduramba</t>
  </si>
  <si>
    <t>Wicklow Hills WattaWanduramba</t>
  </si>
  <si>
    <t>MF0926</t>
  </si>
  <si>
    <t>CRAIGIE LEA</t>
  </si>
  <si>
    <t>DIMBULA/PATANA</t>
  </si>
  <si>
    <t>Craigie Lea EstatePathana</t>
  </si>
  <si>
    <t>MF0928</t>
  </si>
  <si>
    <t>DELMAR</t>
  </si>
  <si>
    <t>Delmar Tea FactoryHalgranoya</t>
  </si>
  <si>
    <t>MF0932</t>
  </si>
  <si>
    <t xml:space="preserve">Kandahena </t>
  </si>
  <si>
    <t>Miyanakandura</t>
  </si>
  <si>
    <t>Pingarawa,Dewatura.</t>
  </si>
  <si>
    <t>MONARAGALA</t>
  </si>
  <si>
    <t>Badalkumbura</t>
  </si>
  <si>
    <t>MF0933</t>
  </si>
  <si>
    <t>INVERY GROUP</t>
  </si>
  <si>
    <t>MF0946</t>
  </si>
  <si>
    <t>Rajjuruwatta</t>
  </si>
  <si>
    <t>Samanpura</t>
  </si>
  <si>
    <t>samanpura</t>
  </si>
  <si>
    <t>Rajjuruwatte Kalawana</t>
  </si>
  <si>
    <t>MF0951</t>
  </si>
  <si>
    <t>Walpita</t>
  </si>
  <si>
    <t>Walpita North</t>
  </si>
  <si>
    <t>Walpita Mgt CompanyPoddala</t>
  </si>
  <si>
    <t>MF0952</t>
  </si>
  <si>
    <t xml:space="preserve">Hapugolle </t>
  </si>
  <si>
    <t>VILANAGAMA</t>
  </si>
  <si>
    <t>Vilana, UdagamaAkurana</t>
  </si>
  <si>
    <t>MF0954</t>
  </si>
  <si>
    <t xml:space="preserve">Moragalla </t>
  </si>
  <si>
    <t>Paragoda</t>
  </si>
  <si>
    <t>Moragalla EstateImaduwa</t>
  </si>
  <si>
    <t>MF0955</t>
  </si>
  <si>
    <t>Wewegoda</t>
  </si>
  <si>
    <t>Wewegoda-Gonmulla</t>
  </si>
  <si>
    <t>Gonamulla Junction</t>
  </si>
  <si>
    <t>MF0957</t>
  </si>
  <si>
    <t>Kumaradasa</t>
  </si>
  <si>
    <t>Horagoda</t>
  </si>
  <si>
    <t>ThelijjawilaWeligamaMatara</t>
  </si>
  <si>
    <t>Weligama</t>
  </si>
  <si>
    <t>MF0967</t>
  </si>
  <si>
    <t>Gatagahawela</t>
  </si>
  <si>
    <t>Udispaththuwa</t>
  </si>
  <si>
    <t>Balagahathenna</t>
  </si>
  <si>
    <t>UdispattuwaRangala</t>
  </si>
  <si>
    <t>MF0970</t>
  </si>
  <si>
    <t>Kumbaloluwa</t>
  </si>
  <si>
    <t>Egodawella-469A</t>
  </si>
  <si>
    <t>Kumbaloluwa Estate,Pundaluoya.</t>
  </si>
  <si>
    <t>MF0971</t>
  </si>
  <si>
    <t>WAVENDON</t>
  </si>
  <si>
    <t>MF0972</t>
  </si>
  <si>
    <t xml:space="preserve"> Keppetipola Tea Shakthi</t>
  </si>
  <si>
    <t>NUGATALAWA</t>
  </si>
  <si>
    <t>Nugatalawa,Welimada</t>
  </si>
  <si>
    <t>TEA SHAKTHI</t>
  </si>
  <si>
    <t>MF0974</t>
  </si>
  <si>
    <t xml:space="preserve">Hapugahawatte </t>
  </si>
  <si>
    <t xml:space="preserve">VIHARAKELLE </t>
  </si>
  <si>
    <t>Helakadaragama</t>
  </si>
  <si>
    <t>Hapugahawatta EstateDiyathalawa</t>
  </si>
  <si>
    <t>MF0975</t>
  </si>
  <si>
    <t>Semidale</t>
  </si>
  <si>
    <t>Henegama</t>
  </si>
  <si>
    <t>HenegamaAkuressa</t>
  </si>
  <si>
    <t>MF0977</t>
  </si>
  <si>
    <t>Willie Group</t>
  </si>
  <si>
    <t>Willie Group Deniyaya</t>
  </si>
  <si>
    <t>MF0979</t>
  </si>
  <si>
    <t>MINCING LANE</t>
  </si>
  <si>
    <t>Mincing Lane, Upcot.</t>
  </si>
  <si>
    <t>MF0981</t>
  </si>
  <si>
    <t>ANNFIELD</t>
  </si>
  <si>
    <t>Annfield EstateDick Oya</t>
  </si>
  <si>
    <t>MF0982</t>
  </si>
  <si>
    <t xml:space="preserve">Cocogalla </t>
  </si>
  <si>
    <t>Wewebedda</t>
  </si>
  <si>
    <t>Kokagala EstateBadulla</t>
  </si>
  <si>
    <t>MF0983</t>
  </si>
  <si>
    <t>63A, HaputaleBadulla</t>
  </si>
  <si>
    <t>MF0984</t>
  </si>
  <si>
    <t>KAIPOOGALLA</t>
  </si>
  <si>
    <t>Kosgaharathena</t>
  </si>
  <si>
    <t>Fernland Estate</t>
  </si>
  <si>
    <t>MF0985</t>
  </si>
  <si>
    <t>LEANGAWELLA</t>
  </si>
  <si>
    <t>Poonagalla Road, Liyangahawela</t>
  </si>
  <si>
    <t>MF0986</t>
  </si>
  <si>
    <t xml:space="preserve">Mahadowa </t>
  </si>
  <si>
    <t>Mahadowa</t>
  </si>
  <si>
    <t>Mahadowa GroupMadulsima</t>
  </si>
  <si>
    <t>MF0988</t>
  </si>
  <si>
    <t>SARINA GROUP</t>
  </si>
  <si>
    <t>Sarnia Estate,</t>
  </si>
  <si>
    <t>MF0997</t>
  </si>
  <si>
    <t>HarVEST</t>
  </si>
  <si>
    <t>Pinnawala</t>
  </si>
  <si>
    <t>PinnawalaImbulpeRatnapura</t>
  </si>
  <si>
    <t>MF1000</t>
  </si>
  <si>
    <t xml:space="preserve">Roeberry </t>
  </si>
  <si>
    <t>Pitamaruwa</t>
  </si>
  <si>
    <t>Roeberry GroupPitamaruwaMadulsima</t>
  </si>
  <si>
    <t>Meegahakiwula</t>
  </si>
  <si>
    <t>MF1003</t>
  </si>
  <si>
    <t>Shannon</t>
  </si>
  <si>
    <t>SHANNON 320</t>
  </si>
  <si>
    <t>Shannon EstateHatton.</t>
  </si>
  <si>
    <t>MF1004</t>
  </si>
  <si>
    <t>Diddenipota</t>
  </si>
  <si>
    <t>Mulatiyana</t>
  </si>
  <si>
    <t>Diddenipotha</t>
  </si>
  <si>
    <t>Diddenipota EstateMulatiyana JunctionMulatiyanaMatara</t>
  </si>
  <si>
    <t>MF1006</t>
  </si>
  <si>
    <t>Iththagala</t>
  </si>
  <si>
    <t>Wathawana</t>
  </si>
  <si>
    <t>Pangirihena,Wattawana, Imaduwa.</t>
  </si>
  <si>
    <t>MF1015</t>
  </si>
  <si>
    <t>LEBANON</t>
  </si>
  <si>
    <t>KOTAPOLA</t>
  </si>
  <si>
    <t>MF1024</t>
  </si>
  <si>
    <t>Allan Valley</t>
  </si>
  <si>
    <t>Kudaludeniya</t>
  </si>
  <si>
    <t>Waralla</t>
  </si>
  <si>
    <t>KotapolaMatara</t>
  </si>
  <si>
    <t>MF1025</t>
  </si>
  <si>
    <t>HAPUGASTENNA</t>
  </si>
  <si>
    <t>Moussakelle</t>
  </si>
  <si>
    <t>Hapugastenna Estate,Maskeliya.</t>
  </si>
  <si>
    <t>MF1027</t>
  </si>
  <si>
    <t>Wijesiri</t>
  </si>
  <si>
    <t>Nugadanda Ihalagama</t>
  </si>
  <si>
    <t>Karadana</t>
  </si>
  <si>
    <t>MF1033</t>
  </si>
  <si>
    <t>Nildiya Valley</t>
  </si>
  <si>
    <t>Panadugama</t>
  </si>
  <si>
    <t>Godapitiya</t>
  </si>
  <si>
    <t>MF1035</t>
  </si>
  <si>
    <t>ZION HILL</t>
  </si>
  <si>
    <t>Waththehena</t>
  </si>
  <si>
    <t>WaththehenaAtabageGampola</t>
  </si>
  <si>
    <t>MF1039</t>
  </si>
  <si>
    <t>BROOKSIDE</t>
  </si>
  <si>
    <t>HalgranoyaWalapane</t>
  </si>
  <si>
    <t>MF1041</t>
  </si>
  <si>
    <t>Yakabedda</t>
  </si>
  <si>
    <t>Galabada GroupAkuressa</t>
  </si>
  <si>
    <t>MF1044</t>
  </si>
  <si>
    <t xml:space="preserve">Greenwood </t>
  </si>
  <si>
    <t>Greenwood</t>
  </si>
  <si>
    <t>Green Wood EstateNawalapitiya</t>
  </si>
  <si>
    <t>MF1045</t>
  </si>
  <si>
    <t>DOOLWALA</t>
  </si>
  <si>
    <t>MF1048</t>
  </si>
  <si>
    <t>Pitiyagoda</t>
  </si>
  <si>
    <t>Thellambura South</t>
  </si>
  <si>
    <t>Thellambura</t>
  </si>
  <si>
    <t>Pitiyagoda  EstateNakiyadeniya</t>
  </si>
  <si>
    <t>MF1057</t>
  </si>
  <si>
    <t>Dedugala</t>
  </si>
  <si>
    <t>Neluakkana</t>
  </si>
  <si>
    <t>Dedugala,Bulathkohupitiya.</t>
  </si>
  <si>
    <t>MF1062</t>
  </si>
  <si>
    <t>Idangoda</t>
  </si>
  <si>
    <t>Pahala Kuttapitiya</t>
  </si>
  <si>
    <t>Pahala Kuttapitiya, PelmadullaRatnapura</t>
  </si>
  <si>
    <t>MF1075</t>
  </si>
  <si>
    <t>Kadigalahena</t>
  </si>
  <si>
    <t>Dehigasthalawa</t>
  </si>
  <si>
    <t>Rilhena,Pelmadulla.</t>
  </si>
  <si>
    <t>MF1077</t>
  </si>
  <si>
    <t>Mahendra</t>
  </si>
  <si>
    <t>RAMBUKKANA</t>
  </si>
  <si>
    <t>Rabukana</t>
  </si>
  <si>
    <t>Mahendra EstateAthu ElaMorawaka</t>
  </si>
  <si>
    <t>MF1079</t>
  </si>
  <si>
    <t>Korahilagoda</t>
  </si>
  <si>
    <t>ThelijjawilaMatara</t>
  </si>
  <si>
    <t>Malimboda</t>
  </si>
  <si>
    <t>MF1082</t>
  </si>
  <si>
    <t>Ringwood</t>
  </si>
  <si>
    <t>Raja Ela,Ulapane.</t>
  </si>
  <si>
    <t>Kurunduwatte</t>
  </si>
  <si>
    <t>MF1087</t>
  </si>
  <si>
    <t>OSBORNE</t>
  </si>
  <si>
    <t>MF1091</t>
  </si>
  <si>
    <t>Polgahawila</t>
  </si>
  <si>
    <t>AgaliyaBaddegamaGalle</t>
  </si>
  <si>
    <t>MF1107</t>
  </si>
  <si>
    <t>Tippola</t>
  </si>
  <si>
    <t>360 Akuressa</t>
  </si>
  <si>
    <t>Akuressa,Matara.</t>
  </si>
  <si>
    <t>MF1110</t>
  </si>
  <si>
    <t xml:space="preserve">Gilimale Tea Shakthi </t>
  </si>
  <si>
    <t>Guruluwana</t>
  </si>
  <si>
    <t>Gilemale</t>
  </si>
  <si>
    <t>Guruluwana,  Ratnapura.</t>
  </si>
  <si>
    <t>MF1122</t>
  </si>
  <si>
    <t>Lankaberiya</t>
  </si>
  <si>
    <t>Ittakanda</t>
  </si>
  <si>
    <t>Lankaberiya EstateIttakanda</t>
  </si>
  <si>
    <t>MF1132</t>
  </si>
  <si>
    <t>DANGKANDE</t>
  </si>
  <si>
    <t>Midlands Estate PlntMatale</t>
  </si>
  <si>
    <t>HINIDUMA</t>
  </si>
  <si>
    <t>MF1139</t>
  </si>
  <si>
    <t xml:space="preserve">Jasmine Valley </t>
  </si>
  <si>
    <t>Thawalama</t>
  </si>
  <si>
    <t>ThawalamaGalle</t>
  </si>
  <si>
    <t>Thawalama-Hiniduma</t>
  </si>
  <si>
    <t>MF1170</t>
  </si>
  <si>
    <t xml:space="preserve">Ivy Valley </t>
  </si>
  <si>
    <t>Ihala Lelwala</t>
  </si>
  <si>
    <t>Lelwala</t>
  </si>
  <si>
    <t>Baddegama Raod,Lelwala,Wanduramba.</t>
  </si>
  <si>
    <t>MF1172</t>
  </si>
  <si>
    <t>New Vithanakanda</t>
  </si>
  <si>
    <t>Delwala</t>
  </si>
  <si>
    <t>New Withanakanda EstateDelwala S.P.O.Ratnapura Via</t>
  </si>
  <si>
    <t>MF1180</t>
  </si>
  <si>
    <t>Vedahata</t>
  </si>
  <si>
    <t>Palle Deltota</t>
  </si>
  <si>
    <t>Vedahette</t>
  </si>
  <si>
    <t>Vedahata Estate.Galaha.</t>
  </si>
  <si>
    <t>MF1181</t>
  </si>
  <si>
    <t xml:space="preserve">Pallegama </t>
  </si>
  <si>
    <t>Ulapane (South)</t>
  </si>
  <si>
    <t>UlapaneKandy</t>
  </si>
  <si>
    <t>MF1186</t>
  </si>
  <si>
    <t>Devagiri</t>
  </si>
  <si>
    <t>Kottawa</t>
  </si>
  <si>
    <t>Kottawagama</t>
  </si>
  <si>
    <t xml:space="preserve">Devagiri Groups Kottawagama,  Via Galle. </t>
  </si>
  <si>
    <t>MF1188</t>
  </si>
  <si>
    <t>Green Mount</t>
  </si>
  <si>
    <t>Amupitiya</t>
  </si>
  <si>
    <t>Imbulpe Balangoda</t>
  </si>
  <si>
    <t>MF1191</t>
  </si>
  <si>
    <t>DHAWALAGIRI</t>
  </si>
  <si>
    <t>Daulagama</t>
  </si>
  <si>
    <t>Dawgalagama</t>
  </si>
  <si>
    <t>DawgalagamaKalawana</t>
  </si>
  <si>
    <t>MF1193</t>
  </si>
  <si>
    <t>Meeriyakande</t>
  </si>
  <si>
    <t>Ihala Goda AkmeemanaGalle</t>
  </si>
  <si>
    <t>MF1194</t>
  </si>
  <si>
    <t>Nadunuyana</t>
  </si>
  <si>
    <t>Keebiya -Middle</t>
  </si>
  <si>
    <t>Ihal Keembiya</t>
  </si>
  <si>
    <t>Ihala-KeembiyaGalle</t>
  </si>
  <si>
    <t>MF1195</t>
  </si>
  <si>
    <t>Golden Leaf</t>
  </si>
  <si>
    <t>IHALAGODA</t>
  </si>
  <si>
    <t>GonamullaPitadeniya RaodGalle</t>
  </si>
  <si>
    <t>MF1196</t>
  </si>
  <si>
    <t>Gurugodella</t>
  </si>
  <si>
    <t>Niyagama West</t>
  </si>
  <si>
    <t>Niyagama,Thalgaswala.</t>
  </si>
  <si>
    <t>MF1198</t>
  </si>
  <si>
    <t xml:space="preserve"> Deniyaya Tea Shakthi </t>
  </si>
  <si>
    <t>PALLEGAMA SOUTH</t>
  </si>
  <si>
    <t>KolawenigamaDeniyaya</t>
  </si>
  <si>
    <t>MF1199</t>
  </si>
  <si>
    <t>Gulugahakande</t>
  </si>
  <si>
    <t>Nehingala</t>
  </si>
  <si>
    <t>GulugahakandaWandurmba</t>
  </si>
  <si>
    <t>MF1202</t>
  </si>
  <si>
    <t>Aminity Valley</t>
  </si>
  <si>
    <t>Panangala</t>
  </si>
  <si>
    <t>Hecock ValleyPanangala</t>
  </si>
  <si>
    <t>MF1203</t>
  </si>
  <si>
    <t xml:space="preserve">Uva Halpewatte </t>
  </si>
  <si>
    <t>Halpe</t>
  </si>
  <si>
    <t>Uva Halpewatte Estate LtdHela HalpeBandarawela</t>
  </si>
  <si>
    <t>MF1205</t>
  </si>
  <si>
    <t>INCHESTELLY</t>
  </si>
  <si>
    <t>MF1208</t>
  </si>
  <si>
    <t>Royal Wadiyakanda</t>
  </si>
  <si>
    <t>Ihala Thanayamgoda</t>
  </si>
  <si>
    <t>MAPALAGAMA</t>
  </si>
  <si>
    <t>Athumale,Galle.</t>
  </si>
  <si>
    <t>MF1209</t>
  </si>
  <si>
    <t xml:space="preserve">Godakumbura </t>
  </si>
  <si>
    <t>Millagaspitiya</t>
  </si>
  <si>
    <t>Millagahapitiya</t>
  </si>
  <si>
    <t>Maha UdagamaAtabage</t>
  </si>
  <si>
    <t>MF1214</t>
  </si>
  <si>
    <t>Weliarawe</t>
  </si>
  <si>
    <t>WELLARAWA ESTATE</t>
  </si>
  <si>
    <t>ALLENYALLEY ESTATEINARALLA</t>
  </si>
  <si>
    <t>MF1215</t>
  </si>
  <si>
    <t>Alikahena</t>
  </si>
  <si>
    <t>Nawadagala</t>
  </si>
  <si>
    <t>Alikahena BNawadagala</t>
  </si>
  <si>
    <t>MF1217</t>
  </si>
  <si>
    <t xml:space="preserve">GALPADITENNE </t>
  </si>
  <si>
    <t>Lellopitiya</t>
  </si>
  <si>
    <t>Galpaditenna, Lellopitiya.Ratnapura</t>
  </si>
  <si>
    <t>MF1220</t>
  </si>
  <si>
    <t>Rukkattana</t>
  </si>
  <si>
    <t>Rukkattana Estate,Nagoda,Galle.</t>
  </si>
  <si>
    <t>MF1231</t>
  </si>
  <si>
    <t>Etambagahawila</t>
  </si>
  <si>
    <t>Kananke</t>
  </si>
  <si>
    <t>Kananke Bazar, WeligmaMatara</t>
  </si>
  <si>
    <t>MF1235</t>
  </si>
  <si>
    <t>Lantern Hill</t>
  </si>
  <si>
    <t>Welikanda,Meethalawa.Kandy</t>
  </si>
  <si>
    <t>MF1238</t>
  </si>
  <si>
    <t>ETHGANDARA</t>
  </si>
  <si>
    <t>Ethgandara EstateImaduwaGalle</t>
  </si>
  <si>
    <t>MF1240</t>
  </si>
  <si>
    <t>Godapola</t>
  </si>
  <si>
    <t>Kilu</t>
  </si>
  <si>
    <t>Nikalanda Estate,Bandarapola,Kiula,Matale.</t>
  </si>
  <si>
    <t>MF1243</t>
  </si>
  <si>
    <t>HENAKANDE</t>
  </si>
  <si>
    <t>LELWALA</t>
  </si>
  <si>
    <t>Lelwala Estate</t>
  </si>
  <si>
    <t>MF1247</t>
  </si>
  <si>
    <t>STOREFIELD</t>
  </si>
  <si>
    <t>Nawadewita</t>
  </si>
  <si>
    <t>Nuwaraeliya RoadDelpitiyaGampola</t>
  </si>
  <si>
    <t>MF1251</t>
  </si>
  <si>
    <t>ERAMULLA</t>
  </si>
  <si>
    <t>PINIKAHANA</t>
  </si>
  <si>
    <t>Eramulla</t>
  </si>
  <si>
    <t>Eramulla EstatePinikahanaElpitiya</t>
  </si>
  <si>
    <t>MF1252</t>
  </si>
  <si>
    <t xml:space="preserve">Wilehena </t>
  </si>
  <si>
    <t xml:space="preserve">Haupe Galle </t>
  </si>
  <si>
    <t>MF1253</t>
  </si>
  <si>
    <t xml:space="preserve">Mahesland </t>
  </si>
  <si>
    <t>THELLAMBURA</t>
  </si>
  <si>
    <t>Tellambura, Nakiyadeniya</t>
  </si>
  <si>
    <t>MF1254</t>
  </si>
  <si>
    <t xml:space="preserve">Concordia </t>
  </si>
  <si>
    <t>Concordia  EstateKandapola</t>
  </si>
  <si>
    <t>MF1257</t>
  </si>
  <si>
    <t>UPLANDS</t>
  </si>
  <si>
    <t>Haloya</t>
  </si>
  <si>
    <t>Kalugamuwa</t>
  </si>
  <si>
    <t>Uplands EstatePeradeniya</t>
  </si>
  <si>
    <t>MF1264</t>
  </si>
  <si>
    <t>AVISSAWELLA</t>
  </si>
  <si>
    <t>Weralupitiya</t>
  </si>
  <si>
    <t>Seethawaka Industrial ParkAvissawella</t>
  </si>
  <si>
    <t>Hanwella</t>
  </si>
  <si>
    <t>MF1265</t>
  </si>
  <si>
    <t>NELUNKANDA</t>
  </si>
  <si>
    <t>KOSWATTA</t>
  </si>
  <si>
    <t>Koswatte</t>
  </si>
  <si>
    <t>KoswaththaKalawana</t>
  </si>
  <si>
    <t>MF1266</t>
  </si>
  <si>
    <t>KENDALANDA</t>
  </si>
  <si>
    <t>YATIWALA</t>
  </si>
  <si>
    <t>Yatiwala</t>
  </si>
  <si>
    <t>Yatiwala, Deraniyagala.</t>
  </si>
  <si>
    <t>MF1269</t>
  </si>
  <si>
    <t xml:space="preserve">RANGALLA GROUP </t>
  </si>
  <si>
    <t>RangalaKandy</t>
  </si>
  <si>
    <t>MF1270</t>
  </si>
  <si>
    <t>Biyolta</t>
  </si>
  <si>
    <t>Moragala</t>
  </si>
  <si>
    <t>St.Agustine Estate,Moragalla, Kirilipana.</t>
  </si>
  <si>
    <t>MF1271</t>
  </si>
  <si>
    <t>Mussendapota</t>
  </si>
  <si>
    <t>Indurupathwila</t>
  </si>
  <si>
    <t>Phala Lelwala</t>
  </si>
  <si>
    <t>Mussandapotha GroupWandurambaGalle</t>
  </si>
  <si>
    <t>MF1272</t>
  </si>
  <si>
    <t>NIRMALA</t>
  </si>
  <si>
    <t>Kalupahana</t>
  </si>
  <si>
    <t>Kalupahana WatteBulathkohopitiya</t>
  </si>
  <si>
    <t>MF1273</t>
  </si>
  <si>
    <t>Norton</t>
  </si>
  <si>
    <t>317-Kiriwaneliya</t>
  </si>
  <si>
    <t>Kiriwan Eliya,Norton Bridge.</t>
  </si>
  <si>
    <t>MF1274</t>
  </si>
  <si>
    <t>Berubeula</t>
  </si>
  <si>
    <t>Urubokka</t>
  </si>
  <si>
    <t>Berubaula  EstateUrubokka</t>
  </si>
  <si>
    <t>MF1275</t>
  </si>
  <si>
    <t>Deniyaya New</t>
  </si>
  <si>
    <t>Tenipita</t>
  </si>
  <si>
    <t>Kiruwanaganga Tea Fac.DeniyayaMatara</t>
  </si>
  <si>
    <t>MF1276</t>
  </si>
  <si>
    <t>INDIAN WALK</t>
  </si>
  <si>
    <t>MF1278</t>
  </si>
  <si>
    <t xml:space="preserve">Mathota </t>
  </si>
  <si>
    <t>Kiriweldola</t>
  </si>
  <si>
    <t>Mathota Tea FactoryKiriveldolaKotapolaMatara</t>
  </si>
  <si>
    <t>MF1280</t>
  </si>
  <si>
    <t>MIHIRIGEEKELE</t>
  </si>
  <si>
    <t>BULATHSINHALA</t>
  </si>
  <si>
    <t>Millakanda EstatBulathsinghala</t>
  </si>
  <si>
    <t>MF1281</t>
  </si>
  <si>
    <t xml:space="preserve">ST.JOACHIM </t>
  </si>
  <si>
    <t>west kahingama</t>
  </si>
  <si>
    <t>St'Joachim EstateRatnapura</t>
  </si>
  <si>
    <t>MF1283</t>
  </si>
  <si>
    <t>PELAWATTE</t>
  </si>
  <si>
    <t>Weerakanda</t>
  </si>
  <si>
    <t>Pelawatte EstateWeerakandaWalallawita</t>
  </si>
  <si>
    <t>Walallawita</t>
  </si>
  <si>
    <t>MF1284</t>
  </si>
  <si>
    <t xml:space="preserve">NEW PANAWENNA </t>
  </si>
  <si>
    <t>Kapuhenthota</t>
  </si>
  <si>
    <t>Panawenna,Kahawatte.</t>
  </si>
  <si>
    <t>MF1286</t>
  </si>
  <si>
    <t>SAMARAKANDA TEA PROCESSING CENTRE</t>
  </si>
  <si>
    <t>Endana 228C</t>
  </si>
  <si>
    <t>Samarakanda,Endana,Kahawatte</t>
  </si>
  <si>
    <t>MF1287</t>
  </si>
  <si>
    <t>Nandana</t>
  </si>
  <si>
    <t>MF1288</t>
  </si>
  <si>
    <t>Galpoththa Watta</t>
  </si>
  <si>
    <t>Agaliya</t>
  </si>
  <si>
    <t>Agaliya,Galle.</t>
  </si>
  <si>
    <t>MF1290</t>
  </si>
  <si>
    <t xml:space="preserve">Demodara Tea Processing Centre </t>
  </si>
  <si>
    <t xml:space="preserve">Demodara </t>
  </si>
  <si>
    <t>Hapugastenna Plantation PLC95/A, NambapanaIngiriya</t>
  </si>
  <si>
    <t>MF1292</t>
  </si>
  <si>
    <t>PINE HILL</t>
  </si>
  <si>
    <t>Udugala</t>
  </si>
  <si>
    <t>UdugalaAyagamaRatnapura</t>
  </si>
  <si>
    <t>MF1293</t>
  </si>
  <si>
    <t xml:space="preserve">Lucky Land </t>
  </si>
  <si>
    <t xml:space="preserve">42 B Alagolla </t>
  </si>
  <si>
    <t>Lakyland EstateUdapussellawa</t>
  </si>
  <si>
    <t>MF1294</t>
  </si>
  <si>
    <t>CEYTEA</t>
  </si>
  <si>
    <t>MF1295</t>
  </si>
  <si>
    <t>KETIYATENNE</t>
  </si>
  <si>
    <t>Kahawatte.</t>
  </si>
  <si>
    <t>MF1296</t>
  </si>
  <si>
    <t>UPPER HOMADOLA</t>
  </si>
  <si>
    <t>Udugama East</t>
  </si>
  <si>
    <t>Homadola EstateUdugamaGalle</t>
  </si>
  <si>
    <t>MF1297</t>
  </si>
  <si>
    <t>ILLUKTENNE</t>
  </si>
  <si>
    <t>WATTEGEDARA</t>
  </si>
  <si>
    <t>Miyanawita Estate,Deraniyagala.</t>
  </si>
  <si>
    <t>MF1298</t>
  </si>
  <si>
    <t>Nil Ella</t>
  </si>
  <si>
    <t>Kosnilgoda</t>
  </si>
  <si>
    <t>Nill-Ella Tea FactoryKosnilgodaDeniyayaMatara</t>
  </si>
  <si>
    <t>MF1299</t>
  </si>
  <si>
    <t>Temcoop</t>
  </si>
  <si>
    <t>Hemmeliya, B'gama</t>
  </si>
  <si>
    <t>MF1300</t>
  </si>
  <si>
    <t>Imbulgahagoda</t>
  </si>
  <si>
    <t>wanduramba</t>
  </si>
  <si>
    <t>Imbulgahagoda EstateWanduramba EstateGalle</t>
  </si>
  <si>
    <t>MF1301</t>
  </si>
  <si>
    <t>Topass</t>
  </si>
  <si>
    <t>Kikiliyamana</t>
  </si>
  <si>
    <t>Nuwaraeliya EstateLabukelle</t>
  </si>
  <si>
    <t>MF1302</t>
  </si>
  <si>
    <t>New Ratnawila</t>
  </si>
  <si>
    <t>Moragala, Kirilapana.DeniyayaMatara</t>
  </si>
  <si>
    <t>MF1303</t>
  </si>
  <si>
    <t>Nil Kandura</t>
  </si>
  <si>
    <t>196 Waduwelivitiya South</t>
  </si>
  <si>
    <t>Waduweliwitiya SouthBaddegama</t>
  </si>
  <si>
    <t>MF1304</t>
  </si>
  <si>
    <t xml:space="preserve">KEHELWALA </t>
  </si>
  <si>
    <t>KEHELWALA</t>
  </si>
  <si>
    <t>Kehelwala, Deraniyagala.</t>
  </si>
  <si>
    <t>MF1305</t>
  </si>
  <si>
    <t>Danlanda</t>
  </si>
  <si>
    <t>Pattigala</t>
  </si>
  <si>
    <t>Pattigala,Beralapanathara.</t>
  </si>
  <si>
    <t>MF1306</t>
  </si>
  <si>
    <t>Sineth</t>
  </si>
  <si>
    <t>214, Aluth Ihala</t>
  </si>
  <si>
    <t>Meda Mapalagama</t>
  </si>
  <si>
    <t>Meda MapalagamaGalle</t>
  </si>
  <si>
    <t>MF1307</t>
  </si>
  <si>
    <t>Kurunuduwatta</t>
  </si>
  <si>
    <t>109A, Ihalagoda Est</t>
  </si>
  <si>
    <t>Gonamulla JunctionKuruduwatteGalle</t>
  </si>
  <si>
    <t>MF1308</t>
  </si>
  <si>
    <t>New Udakada</t>
  </si>
  <si>
    <t>Denawaka/Udakada</t>
  </si>
  <si>
    <t>Kamarangahapitiya,Pelmadulla.</t>
  </si>
  <si>
    <t>MF1309</t>
  </si>
  <si>
    <t>Neptune</t>
  </si>
  <si>
    <t>WELIHENA 305</t>
  </si>
  <si>
    <t>Welihena BopagodaAkuressa</t>
  </si>
  <si>
    <t>Aturaliya</t>
  </si>
  <si>
    <t>MF1310</t>
  </si>
  <si>
    <t xml:space="preserve">Kallumalay </t>
  </si>
  <si>
    <t>Damparadugoda 824C</t>
  </si>
  <si>
    <t>Welgama</t>
  </si>
  <si>
    <t>Bulathsinghala</t>
  </si>
  <si>
    <t>MF1311</t>
  </si>
  <si>
    <t>Silvery</t>
  </si>
  <si>
    <t>Ihala Nagoda</t>
  </si>
  <si>
    <t>Nagoda,Galle.</t>
  </si>
  <si>
    <t>MF1312</t>
  </si>
  <si>
    <t>EDENGROVE</t>
  </si>
  <si>
    <t>Retiyagama</t>
  </si>
  <si>
    <t>Ritiyagama</t>
  </si>
  <si>
    <t>Edengrove EstateUdispattuwa</t>
  </si>
  <si>
    <t>MF1313</t>
  </si>
  <si>
    <t xml:space="preserve">Seetha Eliya </t>
  </si>
  <si>
    <t>Kandilpana,Deniyaya,Matara.</t>
  </si>
  <si>
    <t>MF1314</t>
  </si>
  <si>
    <t>Neluwa Medagama</t>
  </si>
  <si>
    <t>MEDAGAMA</t>
  </si>
  <si>
    <t>Neluwa,Galle.</t>
  </si>
  <si>
    <t>Neluwa-Batuwangala</t>
  </si>
  <si>
    <t>MF1315</t>
  </si>
  <si>
    <t>Ruwanthanne</t>
  </si>
  <si>
    <t xml:space="preserve">Navungala </t>
  </si>
  <si>
    <t>NevungalaKottawagamaGalle</t>
  </si>
  <si>
    <t>MF1316</t>
  </si>
  <si>
    <t>Boralakanda</t>
  </si>
  <si>
    <t>BoralankadaVia Dehiovita.Kegalle</t>
  </si>
  <si>
    <t>MF1317</t>
  </si>
  <si>
    <t>Deshika</t>
  </si>
  <si>
    <t>Kottala</t>
  </si>
  <si>
    <t>KottalaAtakalampannaRatnapura.</t>
  </si>
  <si>
    <t>Atakalampanna</t>
  </si>
  <si>
    <t>MF1318</t>
  </si>
  <si>
    <t>Sinensis</t>
  </si>
  <si>
    <t>214/Aluth-Ihala</t>
  </si>
  <si>
    <t>Midella,Thalawa,Wanduramba,Galle.</t>
  </si>
  <si>
    <t>MF1319</t>
  </si>
  <si>
    <t>Thalgampola</t>
  </si>
  <si>
    <t>THALGAMPOLA</t>
  </si>
  <si>
    <t>Thalgampola Via,Galle.</t>
  </si>
  <si>
    <t>MF1320</t>
  </si>
  <si>
    <t>Richiland</t>
  </si>
  <si>
    <t>Bateyaya</t>
  </si>
  <si>
    <t>Batayaya,Deniyaya.</t>
  </si>
  <si>
    <t>MF1321</t>
  </si>
  <si>
    <t xml:space="preserve">GONA PINUWELA </t>
  </si>
  <si>
    <t>MARTHUPITIYA</t>
  </si>
  <si>
    <t>Weihena, Mattaka.</t>
  </si>
  <si>
    <t>MF1322</t>
  </si>
  <si>
    <t>Pasgoda</t>
  </si>
  <si>
    <t>254,Pasgoda</t>
  </si>
  <si>
    <t>PasgodaMatara</t>
  </si>
  <si>
    <t>MF1323</t>
  </si>
  <si>
    <t xml:space="preserve">Davidson </t>
  </si>
  <si>
    <t>MABOTUWANA</t>
  </si>
  <si>
    <t>WandurabaGalle</t>
  </si>
  <si>
    <t>MF1324</t>
  </si>
  <si>
    <t>New Southern Hill</t>
  </si>
  <si>
    <t>Edadukitha</t>
  </si>
  <si>
    <t>EdadukithaAlapaladeniyaPitabeddaraMatara</t>
  </si>
  <si>
    <t>MF1325</t>
  </si>
  <si>
    <t>Bandarahena</t>
  </si>
  <si>
    <t>Delwala,Ratnapura.</t>
  </si>
  <si>
    <t>MF1326</t>
  </si>
  <si>
    <t>Kudugalhena</t>
  </si>
  <si>
    <t>Rakwana Road,Pelmadulla.</t>
  </si>
  <si>
    <t>MF1327</t>
  </si>
  <si>
    <t>Singhakawaya</t>
  </si>
  <si>
    <t xml:space="preserve">Ambana </t>
  </si>
  <si>
    <t>Ambana,Kahaduwa.</t>
  </si>
  <si>
    <t>MF1328</t>
  </si>
  <si>
    <t xml:space="preserve">MAHAMBANA </t>
  </si>
  <si>
    <t>HEMMELIYA</t>
  </si>
  <si>
    <t>UnanwitiyaBaddegamaGalle</t>
  </si>
  <si>
    <t>MF1329</t>
  </si>
  <si>
    <t xml:space="preserve">Mulatiyana </t>
  </si>
  <si>
    <t>MULATIYANA</t>
  </si>
  <si>
    <t>Mulatiyana Junction,Mulatiyana,Matara.</t>
  </si>
  <si>
    <t>MF1330</t>
  </si>
  <si>
    <t>Halvitigala</t>
  </si>
  <si>
    <t>Thawalama-Mukalana</t>
  </si>
  <si>
    <t>Tea smallholder Factories PLCHalvitigala</t>
  </si>
  <si>
    <t>MF1331</t>
  </si>
  <si>
    <t xml:space="preserve">Dampahala </t>
  </si>
  <si>
    <t>Dampahala - East</t>
  </si>
  <si>
    <t>Dampahala,Matara.</t>
  </si>
  <si>
    <t>MF1332</t>
  </si>
  <si>
    <t>Kurupanawa</t>
  </si>
  <si>
    <t>PARANATHANAYAMAGODA</t>
  </si>
  <si>
    <t>Nagoda Galle</t>
  </si>
  <si>
    <t>MF1333</t>
  </si>
  <si>
    <t xml:space="preserve">Hingulgoda </t>
  </si>
  <si>
    <t>HINIDUMA NORTH</t>
  </si>
  <si>
    <t>HinidumaGalle</t>
  </si>
  <si>
    <t>MF1334</t>
  </si>
  <si>
    <t xml:space="preserve">Marakanda </t>
  </si>
  <si>
    <t>Poddiwela West</t>
  </si>
  <si>
    <t>Marakanda,Poddiwela,Mattaka.</t>
  </si>
  <si>
    <t>MF1335</t>
  </si>
  <si>
    <t>DEIYANDARA</t>
  </si>
  <si>
    <t>MF1336</t>
  </si>
  <si>
    <t>Diyadola</t>
  </si>
  <si>
    <t>Habarakada</t>
  </si>
  <si>
    <t>Habarakada, Tawalama</t>
  </si>
  <si>
    <t>Thawalama Hiniduma</t>
  </si>
  <si>
    <t>MF1337</t>
  </si>
  <si>
    <t>Lumbini</t>
  </si>
  <si>
    <t>Lumbini WatteKolawenigamaDeniyaya</t>
  </si>
  <si>
    <t>MF1338</t>
  </si>
  <si>
    <t>Akuressa Road,Yakkalamulla</t>
  </si>
  <si>
    <t>MF1339</t>
  </si>
  <si>
    <t>Yalta</t>
  </si>
  <si>
    <t>Deniyaya Road,Waralla</t>
  </si>
  <si>
    <t>MF1340</t>
  </si>
  <si>
    <t>Three Times</t>
  </si>
  <si>
    <t>RAMBUKANA</t>
  </si>
  <si>
    <t>WeliwelaMorawaka</t>
  </si>
  <si>
    <t>MF1341</t>
  </si>
  <si>
    <t>Duliella</t>
  </si>
  <si>
    <t>Kosmulla 233D</t>
  </si>
  <si>
    <t>KosmullaNeluwa</t>
  </si>
  <si>
    <t>MF1342</t>
  </si>
  <si>
    <t>EVERGREEN</t>
  </si>
  <si>
    <t xml:space="preserve">37 Horangalla </t>
  </si>
  <si>
    <t>Thalawa Rd, HorangallaThalgaswala</t>
  </si>
  <si>
    <t>MF1343</t>
  </si>
  <si>
    <t>Kongahawatte</t>
  </si>
  <si>
    <t>Rilhena</t>
  </si>
  <si>
    <t>MF1344</t>
  </si>
  <si>
    <t>Malpudanella</t>
  </si>
  <si>
    <t>Banagala-East</t>
  </si>
  <si>
    <t>Banagala,Opatha.</t>
  </si>
  <si>
    <t>MF1345</t>
  </si>
  <si>
    <t>Bentota</t>
  </si>
  <si>
    <t>Madampe North</t>
  </si>
  <si>
    <t>Madampe NorthGodakawelaRatnapura</t>
  </si>
  <si>
    <t>MF1346</t>
  </si>
  <si>
    <t>Magedara</t>
  </si>
  <si>
    <t>Magedara, Galle.</t>
  </si>
  <si>
    <t>MF1347</t>
  </si>
  <si>
    <t>SOUTHERN POROWAGAMA</t>
  </si>
  <si>
    <t>Porawagama</t>
  </si>
  <si>
    <t>MF1348</t>
  </si>
  <si>
    <t xml:space="preserve">Neo Tea Processing </t>
  </si>
  <si>
    <t>MF1349</t>
  </si>
  <si>
    <t>Ruhunuputha</t>
  </si>
  <si>
    <t>Maliduwa</t>
  </si>
  <si>
    <t>Pahala Maliduwa</t>
  </si>
  <si>
    <t>Maliduwa EstateAkuressa.</t>
  </si>
  <si>
    <t>MF1350</t>
  </si>
  <si>
    <t>Batuwangala</t>
  </si>
  <si>
    <t>Morawaka Road,Lelwala,Neluwa.</t>
  </si>
  <si>
    <t>MF1351</t>
  </si>
  <si>
    <t xml:space="preserve">NEew Macaldeniya </t>
  </si>
  <si>
    <t>Kanwanguhawa</t>
  </si>
  <si>
    <t>New Makaldeniya EstateKarlanda</t>
  </si>
  <si>
    <t>MF1352</t>
  </si>
  <si>
    <t>Kurunduhena</t>
  </si>
  <si>
    <t>Thalawa</t>
  </si>
  <si>
    <t>Thalawa,Waduramba.</t>
  </si>
  <si>
    <t>MF1353</t>
  </si>
  <si>
    <t>Hillgarden</t>
  </si>
  <si>
    <t>Indurupathvila,Weihena,Baddegama.</t>
  </si>
  <si>
    <t>MF1354</t>
  </si>
  <si>
    <t>Peak Paradise</t>
  </si>
  <si>
    <t>Kahengama 154A</t>
  </si>
  <si>
    <t>Kuruvita</t>
  </si>
  <si>
    <t>Isuru Place,Paradise,Kuruwita</t>
  </si>
  <si>
    <t>MF1355</t>
  </si>
  <si>
    <t>Proboda</t>
  </si>
  <si>
    <t>Batapola,Karandeniya.</t>
  </si>
  <si>
    <t>MF1356</t>
  </si>
  <si>
    <t xml:space="preserve">Bambarakanda </t>
  </si>
  <si>
    <t>Bambarawana</t>
  </si>
  <si>
    <t>Babarawana</t>
  </si>
  <si>
    <t>BambarawanaMattaka.</t>
  </si>
  <si>
    <t>MF1358</t>
  </si>
  <si>
    <t>Thiruwanakanda</t>
  </si>
  <si>
    <t>Kottawagama,Galle.</t>
  </si>
  <si>
    <t>MF1359</t>
  </si>
  <si>
    <t>THILAKA</t>
  </si>
  <si>
    <t>Pituwala</t>
  </si>
  <si>
    <t>Pituwala,Elpitiya.</t>
  </si>
  <si>
    <t>MF1360</t>
  </si>
  <si>
    <t>Dishan Valley</t>
  </si>
  <si>
    <t>133,Jawatte Road,Colombo 05</t>
  </si>
  <si>
    <t>MF1361</t>
  </si>
  <si>
    <t xml:space="preserve">Udu Ella </t>
  </si>
  <si>
    <t>Ella Ihala-162</t>
  </si>
  <si>
    <t>Ella Ihala</t>
  </si>
  <si>
    <t>EllaIhala,Magedara,Galle.</t>
  </si>
  <si>
    <t>MF1362</t>
  </si>
  <si>
    <t>New Gamini</t>
  </si>
  <si>
    <t>Deniyaya West</t>
  </si>
  <si>
    <t>Pallegama Raod,Deniyaya.</t>
  </si>
  <si>
    <t>MF1363</t>
  </si>
  <si>
    <t>New Nawalakanda</t>
  </si>
  <si>
    <t>Panapitiya</t>
  </si>
  <si>
    <t>Nawalakanda,Uada Haupe,Kahawatte.</t>
  </si>
  <si>
    <t>MF1364</t>
  </si>
  <si>
    <t>Randiv</t>
  </si>
  <si>
    <t>Deyyandara</t>
  </si>
  <si>
    <t>Keebikanda</t>
  </si>
  <si>
    <t>Keembikanda,Wanduramba,Galle.</t>
  </si>
  <si>
    <t>MF1365</t>
  </si>
  <si>
    <t>Nawagamuwahena</t>
  </si>
  <si>
    <t>Denawaka Pathakada</t>
  </si>
  <si>
    <t>Sannasgama</t>
  </si>
  <si>
    <t>Sannasgama,Lellopitiya,Ratnapura.</t>
  </si>
  <si>
    <t>MF1366</t>
  </si>
  <si>
    <t>Haldola</t>
  </si>
  <si>
    <t>Ela Ihala</t>
  </si>
  <si>
    <t>Habarakada,Thawalama.</t>
  </si>
  <si>
    <t>MF1367</t>
  </si>
  <si>
    <t>WATHURAWILA</t>
  </si>
  <si>
    <t>94C, Wathurawila</t>
  </si>
  <si>
    <t>Wathurawila, Kahaduwa</t>
  </si>
  <si>
    <t>MF1368</t>
  </si>
  <si>
    <t>New Temple View</t>
  </si>
  <si>
    <t>Panawenna</t>
  </si>
  <si>
    <t>Halpawala Road,Panawenna Kahawatte</t>
  </si>
  <si>
    <t>MF1369</t>
  </si>
  <si>
    <t>Mendis</t>
  </si>
  <si>
    <t>Thalgasyaya</t>
  </si>
  <si>
    <t>Talgasyaya, Akmeemana.Galle</t>
  </si>
  <si>
    <t>MF1370</t>
  </si>
  <si>
    <t>Ruhunu</t>
  </si>
  <si>
    <t>Waththahens</t>
  </si>
  <si>
    <t>WaththahenaPorawagamaElpitiya</t>
  </si>
  <si>
    <t>MF1371</t>
  </si>
  <si>
    <t>Naindawa</t>
  </si>
  <si>
    <t>Beranagoda</t>
  </si>
  <si>
    <t>Beranagoda, Yakkalamulla.</t>
  </si>
  <si>
    <t>MF1372</t>
  </si>
  <si>
    <t>Palindanuwara</t>
  </si>
  <si>
    <t>Magura</t>
  </si>
  <si>
    <t>HoragodawatteBaduraliya</t>
  </si>
  <si>
    <t>MF1373</t>
  </si>
  <si>
    <t>Moraketiya</t>
  </si>
  <si>
    <t>Karagoda,Galle.</t>
  </si>
  <si>
    <t>MF1374</t>
  </si>
  <si>
    <t>Unity</t>
  </si>
  <si>
    <t>Panangala East</t>
  </si>
  <si>
    <t>Panangala ,HinidumaGalle</t>
  </si>
  <si>
    <t>MF1375</t>
  </si>
  <si>
    <t>Danawala</t>
  </si>
  <si>
    <t>Dhanawala 232C</t>
  </si>
  <si>
    <t>Pelawatta RoadNeluwa.</t>
  </si>
  <si>
    <t>MF1376</t>
  </si>
  <si>
    <t>Subhagya</t>
  </si>
  <si>
    <t>Happitiya 234B</t>
  </si>
  <si>
    <t>HappitiyaNeluwa</t>
  </si>
  <si>
    <t>MF1377</t>
  </si>
  <si>
    <t>Ellagawa</t>
  </si>
  <si>
    <t>Ellaihala,Magedara,Galle</t>
  </si>
  <si>
    <t>MF1378</t>
  </si>
  <si>
    <t>Vonvil</t>
  </si>
  <si>
    <t>Godaamuna</t>
  </si>
  <si>
    <t>GodaamunaPitigala</t>
  </si>
  <si>
    <t>MF1379</t>
  </si>
  <si>
    <t>MAITLAND</t>
  </si>
  <si>
    <t>Malton EstateLindula</t>
  </si>
  <si>
    <t>MF1380</t>
  </si>
  <si>
    <t xml:space="preserve">Gangasiri </t>
  </si>
  <si>
    <t>Opatha</t>
  </si>
  <si>
    <t>Weerapana</t>
  </si>
  <si>
    <t>Weerapana,Opatha.MorawakaMatara</t>
  </si>
  <si>
    <t>MF1381</t>
  </si>
  <si>
    <t>Sannasgama,Lellopitiya.Ratnapura</t>
  </si>
  <si>
    <t>MF1382</t>
  </si>
  <si>
    <t>Handunugoda</t>
  </si>
  <si>
    <t>Atanakita</t>
  </si>
  <si>
    <t>Tittagalle</t>
  </si>
  <si>
    <t>Titthagalla,Ahangama.</t>
  </si>
  <si>
    <t>MF1383</t>
  </si>
  <si>
    <t>Nawa Diyagala</t>
  </si>
  <si>
    <t>MF1384</t>
  </si>
  <si>
    <t>Nahinigala</t>
  </si>
  <si>
    <t>Nehinigala</t>
  </si>
  <si>
    <t>Kataburawa</t>
  </si>
  <si>
    <t>Nehinigala,Wanduramba,Galle.</t>
  </si>
  <si>
    <t>MF1385</t>
  </si>
  <si>
    <t>Tawalama,Galle.</t>
  </si>
  <si>
    <t>MF1386</t>
  </si>
  <si>
    <t>Mihidum Valley</t>
  </si>
  <si>
    <t>35C, Duwegoda</t>
  </si>
  <si>
    <t>Banangala</t>
  </si>
  <si>
    <t>310, Agalawatte RoadMathugama</t>
  </si>
  <si>
    <t>MF1387</t>
  </si>
  <si>
    <t>A.C.U.</t>
  </si>
  <si>
    <t>Madampe, Atakalampanna.</t>
  </si>
  <si>
    <t>MF1388</t>
  </si>
  <si>
    <t>FAIRFIELD</t>
  </si>
  <si>
    <t>Wariyagala</t>
  </si>
  <si>
    <t>WariyagalaNillamba</t>
  </si>
  <si>
    <t>MF1389</t>
  </si>
  <si>
    <t>Karagoda</t>
  </si>
  <si>
    <t>Moraketiya RoadKaragoda,Galle.</t>
  </si>
  <si>
    <t>MF1390</t>
  </si>
  <si>
    <t>WATAWALA</t>
  </si>
  <si>
    <t>MF1391</t>
  </si>
  <si>
    <t>Haliwala</t>
  </si>
  <si>
    <t>Bataduwa, Galle.</t>
  </si>
  <si>
    <t>MF1392</t>
  </si>
  <si>
    <t>Hidellana</t>
  </si>
  <si>
    <t>Kosgoda</t>
  </si>
  <si>
    <t>Malangama</t>
  </si>
  <si>
    <t>Hidellana,Ratnapura.</t>
  </si>
  <si>
    <t>MF1393</t>
  </si>
  <si>
    <t>New Udumullagoda</t>
  </si>
  <si>
    <t>Kottawa Gama</t>
  </si>
  <si>
    <t>Makumbura</t>
  </si>
  <si>
    <t>Makumbura,KottawagamaGalle</t>
  </si>
  <si>
    <t>MF1394</t>
  </si>
  <si>
    <t>Batalanda</t>
  </si>
  <si>
    <t>Malawa</t>
  </si>
  <si>
    <t>Malawa, Kuruwita</t>
  </si>
  <si>
    <t>MF1395</t>
  </si>
  <si>
    <t>Dangahahena</t>
  </si>
  <si>
    <t>Panagoda</t>
  </si>
  <si>
    <t>Pannimulla,Panagoda.</t>
  </si>
  <si>
    <t>MF1396</t>
  </si>
  <si>
    <t>Himara</t>
  </si>
  <si>
    <t>Ambalegedara South</t>
  </si>
  <si>
    <t>Ambalegedara NorthNeluwa</t>
  </si>
  <si>
    <t>MF1397</t>
  </si>
  <si>
    <t>New Ferndel</t>
  </si>
  <si>
    <t>Galabada</t>
  </si>
  <si>
    <t>Galaboda,Gallella,Rathnapura.</t>
  </si>
  <si>
    <t>MF1398</t>
  </si>
  <si>
    <t xml:space="preserve">Athukorala </t>
  </si>
  <si>
    <t>Kuruduwatta NO 1Pitigala.Mathugama</t>
  </si>
  <si>
    <t>MF1399</t>
  </si>
  <si>
    <t>Nil Gahahena</t>
  </si>
  <si>
    <t>Yattapatha</t>
  </si>
  <si>
    <t xml:space="preserve">Sinharaja GardenYattapatha </t>
  </si>
  <si>
    <t>MF1400</t>
  </si>
  <si>
    <t>Eramulla EstateKahaduwa.</t>
  </si>
  <si>
    <t>MF1401</t>
  </si>
  <si>
    <t>Janahitha</t>
  </si>
  <si>
    <t>Kottawa-176</t>
  </si>
  <si>
    <t>Kottawagama, Galle.</t>
  </si>
  <si>
    <t>MF1402</t>
  </si>
  <si>
    <t>New South-Co-Op</t>
  </si>
  <si>
    <t>Ehalape</t>
  </si>
  <si>
    <t>Bangama</t>
  </si>
  <si>
    <t>MF1403</t>
  </si>
  <si>
    <t>Chandra Eliya</t>
  </si>
  <si>
    <t>Deniyaya.KotapolaMatara</t>
  </si>
  <si>
    <t>MF1404</t>
  </si>
  <si>
    <t xml:space="preserve">Thotupalawatta </t>
  </si>
  <si>
    <t>220A-Ganegama East</t>
  </si>
  <si>
    <t>Kotagoda Estate,Godewatte,Keebiela,Baddegama.</t>
  </si>
  <si>
    <t>MF1405</t>
  </si>
  <si>
    <t>Remonta</t>
  </si>
  <si>
    <t>Meepawala</t>
  </si>
  <si>
    <t>Meepawala,Poddala,Galle.</t>
  </si>
  <si>
    <t>Bope Poddala</t>
  </si>
  <si>
    <t>MF1406</t>
  </si>
  <si>
    <t>Green Lanka</t>
  </si>
  <si>
    <t>Ginnaliya</t>
  </si>
  <si>
    <t>Ginnaliya EastPasgoda, DeniyayaMatara.</t>
  </si>
  <si>
    <t>MF1407</t>
  </si>
  <si>
    <t>Bogoda</t>
  </si>
  <si>
    <t>Pussawela</t>
  </si>
  <si>
    <t>Bogoda Group Kolawenigama,Deniyaya.</t>
  </si>
  <si>
    <t>MF1408</t>
  </si>
  <si>
    <t>Bogahahena</t>
  </si>
  <si>
    <t>Bamunugama</t>
  </si>
  <si>
    <t>Bogahahena,Horapavita.</t>
  </si>
  <si>
    <t>MF1409</t>
  </si>
  <si>
    <t>Randeniya</t>
  </si>
  <si>
    <t>174,Kombala</t>
  </si>
  <si>
    <t>Kombala</t>
  </si>
  <si>
    <t>Kombala Road,Imaduwa.Galle.</t>
  </si>
  <si>
    <t>MF1410</t>
  </si>
  <si>
    <t>Gunawardana</t>
  </si>
  <si>
    <t>Thalahagama WestPorathota,Akuressa.</t>
  </si>
  <si>
    <t>MF1411</t>
  </si>
  <si>
    <t>SUSANTHA</t>
  </si>
  <si>
    <t xml:space="preserve">34A-2 </t>
  </si>
  <si>
    <t>Bambarawana, Mattaka.Galle</t>
  </si>
  <si>
    <t>MF1412</t>
  </si>
  <si>
    <t>Lucky Dais</t>
  </si>
  <si>
    <t>Beralapanathara</t>
  </si>
  <si>
    <t>Kobomella,Beralapanatara.</t>
  </si>
  <si>
    <t>MF1413</t>
  </si>
  <si>
    <t xml:space="preserve">Mount Eliza </t>
  </si>
  <si>
    <t>Pallehapuwida</t>
  </si>
  <si>
    <t>Alawatte spoMatale</t>
  </si>
  <si>
    <t>MF1414</t>
  </si>
  <si>
    <t>Derangala Hills</t>
  </si>
  <si>
    <t>Thalapakumbura</t>
  </si>
  <si>
    <t>Ethu-Ela</t>
  </si>
  <si>
    <t>Atu-Ela,  Morawaka.</t>
  </si>
  <si>
    <t>MF1415</t>
  </si>
  <si>
    <t xml:space="preserve">Ceyenta </t>
  </si>
  <si>
    <t>Kosmodara</t>
  </si>
  <si>
    <t>Kosmodara,Kotapola.</t>
  </si>
  <si>
    <t>MF1416</t>
  </si>
  <si>
    <t>Koppakande</t>
  </si>
  <si>
    <t>Omalpe</t>
  </si>
  <si>
    <t>Koppakanda</t>
  </si>
  <si>
    <t>Koppakande, Omalpe.</t>
  </si>
  <si>
    <t>MF1417</t>
  </si>
  <si>
    <t xml:space="preserve">Coopwin </t>
  </si>
  <si>
    <t>Deniyaya Road,Akuressa.</t>
  </si>
  <si>
    <t>MF1418</t>
  </si>
  <si>
    <t>Doralawitiyahena</t>
  </si>
  <si>
    <t>Udakada</t>
  </si>
  <si>
    <t>No 202Batalanda,Pelmadulla.</t>
  </si>
  <si>
    <t>MF1419</t>
  </si>
  <si>
    <t>P M U</t>
  </si>
  <si>
    <t>Kawuduwawa</t>
  </si>
  <si>
    <t>Atakalanpanna</t>
  </si>
  <si>
    <t>KawduwawaGodakawelaRatnapura</t>
  </si>
  <si>
    <t>MF1420</t>
  </si>
  <si>
    <t xml:space="preserve">Lucky Kottawa </t>
  </si>
  <si>
    <t>Galgodella Road,Thalgampola.</t>
  </si>
  <si>
    <t>MF1421</t>
  </si>
  <si>
    <t>Lakmali</t>
  </si>
  <si>
    <t>Aluth Ihala - 214</t>
  </si>
  <si>
    <t>Mapalagama</t>
  </si>
  <si>
    <t>Sobitha Mawatha,Mapalagama (Central)</t>
  </si>
  <si>
    <t>MF1422</t>
  </si>
  <si>
    <t>Ivyhills</t>
  </si>
  <si>
    <t>Udalamatta</t>
  </si>
  <si>
    <t>Udalamatta-via Galle</t>
  </si>
  <si>
    <t>MF1423</t>
  </si>
  <si>
    <t>Co-Op Lanka</t>
  </si>
  <si>
    <t>Kotapola M.P.C.S. Ltd.Deniyaya Road,Waralla</t>
  </si>
  <si>
    <t>MF1424</t>
  </si>
  <si>
    <t>Kanthisiri</t>
  </si>
  <si>
    <t>Panugalgoda</t>
  </si>
  <si>
    <t>Ambekumbura</t>
  </si>
  <si>
    <t>Dikkumbura,Ahangama.</t>
  </si>
  <si>
    <t>Habaraduwa</t>
  </si>
  <si>
    <t>MF1425</t>
  </si>
  <si>
    <t>Lucky Pinnaduwa</t>
  </si>
  <si>
    <t>Ihalagoda South</t>
  </si>
  <si>
    <t>WalahanduwaGalle</t>
  </si>
  <si>
    <t>MF1426</t>
  </si>
  <si>
    <t xml:space="preserve">Paragalla </t>
  </si>
  <si>
    <t>ParagallaUdathenna</t>
  </si>
  <si>
    <t>MF1427</t>
  </si>
  <si>
    <t>Menikkanda</t>
  </si>
  <si>
    <t>Hiyare East</t>
  </si>
  <si>
    <t>Hiyare</t>
  </si>
  <si>
    <t>Hiyare East, Hiyare,Galle.</t>
  </si>
  <si>
    <t>MF1428</t>
  </si>
  <si>
    <t>FORTUNE</t>
  </si>
  <si>
    <t>Keeripitiya Road,Urubokka.</t>
  </si>
  <si>
    <t>MF1429</t>
  </si>
  <si>
    <t>Nayapamula</t>
  </si>
  <si>
    <t>Nayapamula,Gamagoda,Baddegama.</t>
  </si>
  <si>
    <t>MF1430</t>
  </si>
  <si>
    <t xml:space="preserve">Finlay Green Teas </t>
  </si>
  <si>
    <t xml:space="preserve">Beragala </t>
  </si>
  <si>
    <t>Kirimanagan</t>
  </si>
  <si>
    <t>Haldumulla,Badulla.</t>
  </si>
  <si>
    <t>MF1431</t>
  </si>
  <si>
    <t>Luccombe</t>
  </si>
  <si>
    <t>Maussakelle</t>
  </si>
  <si>
    <t>MaussakelleAmbagamuwaNuwaraeliya</t>
  </si>
  <si>
    <t>MF1432</t>
  </si>
  <si>
    <t xml:space="preserve"> Sri Samaneliya</t>
  </si>
  <si>
    <t>Siripagama</t>
  </si>
  <si>
    <t>Diviyagala</t>
  </si>
  <si>
    <t>Diyagala Street,Palabaddala,SiripagamaRatnapura.</t>
  </si>
  <si>
    <t>MF1433</t>
  </si>
  <si>
    <t>Kosgahadola Ella</t>
  </si>
  <si>
    <t>Ehalakanda 270A</t>
  </si>
  <si>
    <t>Ehela Kanda</t>
  </si>
  <si>
    <t>Gomila,Mawarala.</t>
  </si>
  <si>
    <t>MF1434</t>
  </si>
  <si>
    <t>Liyota</t>
  </si>
  <si>
    <t>Udabattawa</t>
  </si>
  <si>
    <t>Udubettawa</t>
  </si>
  <si>
    <t>Udubattawa,AkmeemanaGalle</t>
  </si>
  <si>
    <t>MF1435</t>
  </si>
  <si>
    <t>Halwala</t>
  </si>
  <si>
    <t>Walallawita,Halwala,Galatara.</t>
  </si>
  <si>
    <t>MF1436</t>
  </si>
  <si>
    <t>New Wewelkandura</t>
  </si>
  <si>
    <t>Wevelkandura</t>
  </si>
  <si>
    <t>Udapebotuwa</t>
  </si>
  <si>
    <t>Pebotuwa,Kalawana,Ratnapura.</t>
  </si>
  <si>
    <t>MF1437</t>
  </si>
  <si>
    <t>Dellawa</t>
  </si>
  <si>
    <t>Devalegama</t>
  </si>
  <si>
    <t>DellawaMorawaka</t>
  </si>
  <si>
    <t>MF1438</t>
  </si>
  <si>
    <t>Galle Ray</t>
  </si>
  <si>
    <t>Majuwana</t>
  </si>
  <si>
    <t>Keradewala,MajuwanaBaddegama</t>
  </si>
  <si>
    <t>MF1439</t>
  </si>
  <si>
    <t>Ekvin</t>
  </si>
  <si>
    <t>Banagala Road,Opatha,Galle.</t>
  </si>
  <si>
    <t>MF1440</t>
  </si>
  <si>
    <t>Halkandaliya 176D</t>
  </si>
  <si>
    <t>Madara</t>
  </si>
  <si>
    <t>Madara Estate, Nivithigala.</t>
  </si>
  <si>
    <t>MF1441</t>
  </si>
  <si>
    <t>Falcon</t>
  </si>
  <si>
    <t>Elapatha,Ratnapura</t>
  </si>
  <si>
    <t>MF1442</t>
  </si>
  <si>
    <t>Veddagala</t>
  </si>
  <si>
    <t>Gangalagamuwa</t>
  </si>
  <si>
    <t>Veddagala,Kalawana.</t>
  </si>
  <si>
    <t>MF1443</t>
  </si>
  <si>
    <t>Cee Tee Hills</t>
  </si>
  <si>
    <t>Wijayagama D</t>
  </si>
  <si>
    <t>GalbokkaBeralapanathara</t>
  </si>
  <si>
    <t>MF1444</t>
  </si>
  <si>
    <t>Crystal Leaf</t>
  </si>
  <si>
    <t>Kimbulawala, Mattaka</t>
  </si>
  <si>
    <t>MF1445</t>
  </si>
  <si>
    <t>Menik Valley</t>
  </si>
  <si>
    <t>Daugala</t>
  </si>
  <si>
    <t>DaugalaKalawanaRatnapura</t>
  </si>
  <si>
    <t>MF1446</t>
  </si>
  <si>
    <t>Yenara</t>
  </si>
  <si>
    <t xml:space="preserve">Suduwella </t>
  </si>
  <si>
    <t>Hythe EstateAraliyagamaDeltota</t>
  </si>
  <si>
    <t>MF1447</t>
  </si>
  <si>
    <t>Ceylon Ray</t>
  </si>
  <si>
    <t>Udugama Road,Opatha,Galle.</t>
  </si>
  <si>
    <t>MF1448</t>
  </si>
  <si>
    <t>RAMMALAKANDE</t>
  </si>
  <si>
    <t xml:space="preserve">Rammala Kanda Tea </t>
  </si>
  <si>
    <t>HAMBANTOTA</t>
  </si>
  <si>
    <t>MF1449</t>
  </si>
  <si>
    <t>GAHALAWATTA</t>
  </si>
  <si>
    <t>Horangalla, Thalgaswala.</t>
  </si>
  <si>
    <t>MF1450</t>
  </si>
  <si>
    <t>Rotumba</t>
  </si>
  <si>
    <t>Panakaduwa</t>
  </si>
  <si>
    <t>Kolaniya Road,Rotumba,Pasgoda</t>
  </si>
  <si>
    <t>MF1451</t>
  </si>
  <si>
    <t>Golden Key</t>
  </si>
  <si>
    <t>Ketandola</t>
  </si>
  <si>
    <t>Ketandola,Ratnapura.</t>
  </si>
  <si>
    <t>MF1452</t>
  </si>
  <si>
    <t>Mahaliyadda</t>
  </si>
  <si>
    <t>Ukovita</t>
  </si>
  <si>
    <t>UKOWITA</t>
  </si>
  <si>
    <t>Ukovita,Udugama,Galle.</t>
  </si>
  <si>
    <t>MF1453</t>
  </si>
  <si>
    <t>Manana</t>
  </si>
  <si>
    <t>MananaKalawana</t>
  </si>
  <si>
    <t>MF1454</t>
  </si>
  <si>
    <t>Camellia</t>
  </si>
  <si>
    <t>Erathna - Adavikanda</t>
  </si>
  <si>
    <t>Erathna</t>
  </si>
  <si>
    <t>Adavikande,  KuruwitaRatnapura</t>
  </si>
  <si>
    <t>MF1455</t>
  </si>
  <si>
    <t>Thundola</t>
  </si>
  <si>
    <t>4th Mile Post,Neluwa Road,Pelawatte</t>
  </si>
  <si>
    <t>MF1456</t>
  </si>
  <si>
    <t>Deerwood</t>
  </si>
  <si>
    <t>Eknaligoda (North)</t>
  </si>
  <si>
    <t>Erathna RoadSudagalaKuruwita</t>
  </si>
  <si>
    <t>MF1457</t>
  </si>
  <si>
    <t>LANCOM</t>
  </si>
  <si>
    <t>KotagalaAmbagamuwaDimbula-PathanaNuwara Eliya</t>
  </si>
  <si>
    <t>MF1458</t>
  </si>
  <si>
    <t>Seron</t>
  </si>
  <si>
    <t>Wewelwatta</t>
  </si>
  <si>
    <t>Polwatte</t>
  </si>
  <si>
    <t>PolwattaWewelwatte</t>
  </si>
  <si>
    <t>MF1459</t>
  </si>
  <si>
    <t>New Laksakanda</t>
  </si>
  <si>
    <t>Laksakanda</t>
  </si>
  <si>
    <t>Erathna,kuruvita.</t>
  </si>
  <si>
    <t>MF1460</t>
  </si>
  <si>
    <t>NAMBAPANA Instant</t>
  </si>
  <si>
    <t>Urugalla</t>
  </si>
  <si>
    <t>P.O. Box 2NambapanaIngiriya</t>
  </si>
  <si>
    <t>MF1461</t>
  </si>
  <si>
    <t>Embilmeegama</t>
  </si>
  <si>
    <t>Geragama</t>
  </si>
  <si>
    <t>Ambilmeegama</t>
  </si>
  <si>
    <t>151, Colombo road,Embilmeegama,Pilimathalawa.</t>
  </si>
  <si>
    <t>MF1462</t>
  </si>
  <si>
    <t>Lions</t>
  </si>
  <si>
    <t>Ketawaldeniya</t>
  </si>
  <si>
    <t>Kekundeniya</t>
  </si>
  <si>
    <t>Ketawala Road,Beralapanathara.</t>
  </si>
  <si>
    <t>MF1463</t>
  </si>
  <si>
    <t>Peekview</t>
  </si>
  <si>
    <t>Dippitigala</t>
  </si>
  <si>
    <t>Dippitiyala,Lellopitiya.</t>
  </si>
  <si>
    <t>MF1464</t>
  </si>
  <si>
    <t>Fairymount</t>
  </si>
  <si>
    <t>Waliwa Morawaka</t>
  </si>
  <si>
    <t>Milla Ela</t>
  </si>
  <si>
    <t>Milla-ElaMorawaka</t>
  </si>
  <si>
    <t>MF1465</t>
  </si>
  <si>
    <t>BROMBIL</t>
  </si>
  <si>
    <t>850C, Pelawatta, Miriswatte</t>
  </si>
  <si>
    <t>Gorakaduwa</t>
  </si>
  <si>
    <t>Pitigala Road,Pelawatta.</t>
  </si>
  <si>
    <t>MF1466</t>
  </si>
  <si>
    <t>Tea Lanka</t>
  </si>
  <si>
    <t>Madampe -North</t>
  </si>
  <si>
    <t>Weralugahamula</t>
  </si>
  <si>
    <t>Weralugahamula,Rakwana.</t>
  </si>
  <si>
    <t>MF1467</t>
  </si>
  <si>
    <t>Daduwangala Watte</t>
  </si>
  <si>
    <t>Millavitiya</t>
  </si>
  <si>
    <t>Millawitiya,KuruwitaRatnapura</t>
  </si>
  <si>
    <t>MF1468</t>
  </si>
  <si>
    <t>Nilrich</t>
  </si>
  <si>
    <t>Bengamuwa</t>
  </si>
  <si>
    <t>BangamuwaPasgodaMatara</t>
  </si>
  <si>
    <t>MF1469</t>
  </si>
  <si>
    <t>Triton Hills</t>
  </si>
  <si>
    <t>Neralampitiya</t>
  </si>
  <si>
    <t>Hakmana Road,Mulatiyana,Matara.</t>
  </si>
  <si>
    <t>MF1470</t>
  </si>
  <si>
    <t>Karawita</t>
  </si>
  <si>
    <t>Pinkanda</t>
  </si>
  <si>
    <t>Nivithigala-</t>
  </si>
  <si>
    <t>Uda Karawita,Karawita.</t>
  </si>
  <si>
    <t>MF1472</t>
  </si>
  <si>
    <t>Sunils</t>
  </si>
  <si>
    <t>Eduragala 620A</t>
  </si>
  <si>
    <t>Eduragala</t>
  </si>
  <si>
    <t>Eduragala,Ingiriya.</t>
  </si>
  <si>
    <t>MF1473</t>
  </si>
  <si>
    <t>KELLAPATHA</t>
  </si>
  <si>
    <t>Amugoda</t>
  </si>
  <si>
    <t>Kellapatha</t>
  </si>
  <si>
    <t>Amugoda,Kellapatha.</t>
  </si>
  <si>
    <t>MF1474</t>
  </si>
  <si>
    <t>Purerich</t>
  </si>
  <si>
    <t>Nishshankapura</t>
  </si>
  <si>
    <t>MF1475</t>
  </si>
  <si>
    <t>Muswenna</t>
  </si>
  <si>
    <t>Walpola</t>
  </si>
  <si>
    <t>Walpola,Imaduwa.</t>
  </si>
  <si>
    <t>MF1476</t>
  </si>
  <si>
    <t xml:space="preserve">NEW J S P </t>
  </si>
  <si>
    <t>Horawala</t>
  </si>
  <si>
    <t>Welipenna</t>
  </si>
  <si>
    <t>Horawala,Welipenna.</t>
  </si>
  <si>
    <t>MF1477</t>
  </si>
  <si>
    <t>Morapitiya</t>
  </si>
  <si>
    <t>836/D ATHWELTHOTA</t>
  </si>
  <si>
    <t>Morapitiya,Agalawatte.</t>
  </si>
  <si>
    <t>MF1478</t>
  </si>
  <si>
    <t>Sanora</t>
  </si>
  <si>
    <t>Guruluwana- Gillemalle</t>
  </si>
  <si>
    <t>Gilimale,Ratnapura.</t>
  </si>
  <si>
    <t>MF1479</t>
  </si>
  <si>
    <t>Henatenna</t>
  </si>
  <si>
    <t>Delmaalla</t>
  </si>
  <si>
    <t>Delmella</t>
  </si>
  <si>
    <t>Delmella,Bulathsinghala.</t>
  </si>
  <si>
    <t>MF1480</t>
  </si>
  <si>
    <t>New Hopewell</t>
  </si>
  <si>
    <t>Kirimetitenna</t>
  </si>
  <si>
    <t>Hope well</t>
  </si>
  <si>
    <t>kirimetitennaBalangoda.</t>
  </si>
  <si>
    <t>MF1481</t>
  </si>
  <si>
    <t xml:space="preserve">Raigam Korale Tea Shakthi </t>
  </si>
  <si>
    <t>Maputugala</t>
  </si>
  <si>
    <t>Gurugoda,Poruwadanda, Horana.</t>
  </si>
  <si>
    <t>MF1482</t>
  </si>
  <si>
    <t>Derangala</t>
  </si>
  <si>
    <t>Derangala 3rd step</t>
  </si>
  <si>
    <t>Kiriwelkelle</t>
  </si>
  <si>
    <t>KiriwelkellePitabeddara</t>
  </si>
  <si>
    <t>MF1483</t>
  </si>
  <si>
    <t xml:space="preserve">Galaxy </t>
  </si>
  <si>
    <t>Nawalakanda</t>
  </si>
  <si>
    <t>Thennahena</t>
  </si>
  <si>
    <t>Thannahena NavalakandaKalawana</t>
  </si>
  <si>
    <t>MF1484</t>
  </si>
  <si>
    <t>KUDAPANA</t>
  </si>
  <si>
    <t>Kudapana</t>
  </si>
  <si>
    <t>Kudapana,Mawarala</t>
  </si>
  <si>
    <t>MF1485</t>
  </si>
  <si>
    <t>Gurudiyapotha</t>
  </si>
  <si>
    <t>Lelwala, Neluwa,Galle</t>
  </si>
  <si>
    <t>MF1486</t>
  </si>
  <si>
    <t>THAMMENNA</t>
  </si>
  <si>
    <t>Horagalla</t>
  </si>
  <si>
    <t>Group Link BWaralla</t>
  </si>
  <si>
    <t>MF1487</t>
  </si>
  <si>
    <t>Adams View</t>
  </si>
  <si>
    <t>Kajugaswatte</t>
  </si>
  <si>
    <t>No 4 Sri Pada MawathaRatnapura</t>
  </si>
  <si>
    <t>MF1488</t>
  </si>
  <si>
    <t>Kukuleganga</t>
  </si>
  <si>
    <t>Kodippilli Kanda</t>
  </si>
  <si>
    <t>Pitigalakanda Road,Nawalakanda,Kalawana.</t>
  </si>
  <si>
    <t>MF1489</t>
  </si>
  <si>
    <t>BLUE MOUNT</t>
  </si>
  <si>
    <t>Kanathiriyanwela</t>
  </si>
  <si>
    <t>Pinnawala, Balangoda.</t>
  </si>
  <si>
    <t>MF1490</t>
  </si>
  <si>
    <t>Ransegoda</t>
  </si>
  <si>
    <t>Ransagoda South</t>
  </si>
  <si>
    <t>Ransagoda</t>
  </si>
  <si>
    <t>Ransegoda SouthKamburupitiya</t>
  </si>
  <si>
    <t>MF1491</t>
  </si>
  <si>
    <t>New Doralavitiyahena</t>
  </si>
  <si>
    <t>WellanduraKahawattaRatnapura</t>
  </si>
  <si>
    <t>MF1492</t>
  </si>
  <si>
    <t>WINWOOD</t>
  </si>
  <si>
    <t>Nambapana</t>
  </si>
  <si>
    <t>Ratnapura Road, NambapanaIngiriya</t>
  </si>
  <si>
    <t>MF1493</t>
  </si>
  <si>
    <t>Golden Valley</t>
  </si>
  <si>
    <t>Menik Valley EstateDaugalaKalawana</t>
  </si>
  <si>
    <t>MF1494</t>
  </si>
  <si>
    <t>Paragodakanda</t>
  </si>
  <si>
    <t>Deegoda</t>
  </si>
  <si>
    <t>Galle RoadParagodaImaduwa</t>
  </si>
  <si>
    <t>MF1495</t>
  </si>
  <si>
    <t>Nilvin View</t>
  </si>
  <si>
    <t>Hapurudeniya</t>
  </si>
  <si>
    <t>Hapurudeniya EstateWellanduraKahawatte</t>
  </si>
  <si>
    <t>MF1496</t>
  </si>
  <si>
    <t>CO-OP TEA</t>
  </si>
  <si>
    <t>EllahenaKahawatte</t>
  </si>
  <si>
    <t>MF1497</t>
  </si>
  <si>
    <t>Kanneliya</t>
  </si>
  <si>
    <t>Koralegama</t>
  </si>
  <si>
    <t>Koralegama,Panangala.</t>
  </si>
  <si>
    <t>MF1498</t>
  </si>
  <si>
    <t>Urubokka South</t>
  </si>
  <si>
    <t>Urubokka. Pasgoda,Deniyaya</t>
  </si>
  <si>
    <t>MF1500</t>
  </si>
  <si>
    <t>Green House</t>
  </si>
  <si>
    <t>Panakaduwa West</t>
  </si>
  <si>
    <t>Panakaduwa WestPasgodaMatara</t>
  </si>
  <si>
    <t>MF1501</t>
  </si>
  <si>
    <t>Sihara</t>
  </si>
  <si>
    <t>Thawalama South</t>
  </si>
  <si>
    <t>Singha Stores, Thawalama South,Galle.</t>
  </si>
  <si>
    <t>MF1502</t>
  </si>
  <si>
    <t>Nilgiri</t>
  </si>
  <si>
    <t>Paragala</t>
  </si>
  <si>
    <t>Jayabima,Paragala,Morawaka.</t>
  </si>
  <si>
    <t>MF1503</t>
  </si>
  <si>
    <t>ALHEWANA</t>
  </si>
  <si>
    <t>Hirikatiya</t>
  </si>
  <si>
    <t>Nabada Road,Matugama.</t>
  </si>
  <si>
    <t>MF1504</t>
  </si>
  <si>
    <t>Elpitiya Tea Shakthi</t>
  </si>
  <si>
    <t>Ganegoda</t>
  </si>
  <si>
    <t>Ketapala, Genegoda.</t>
  </si>
  <si>
    <t>MF1505</t>
  </si>
  <si>
    <t>SRI PALABADDALA</t>
  </si>
  <si>
    <t>Guruluwana 162G</t>
  </si>
  <si>
    <t>1/15 ,Malwala Road,Ratnapura.</t>
  </si>
  <si>
    <t>MF1506</t>
  </si>
  <si>
    <t>Walawwatta</t>
  </si>
  <si>
    <t>Walawwatta- Waralla</t>
  </si>
  <si>
    <t>MF1507</t>
  </si>
  <si>
    <t>Sunrise</t>
  </si>
  <si>
    <t>Vijayagama 250D</t>
  </si>
  <si>
    <t>VijayagamaPasgodaMatara</t>
  </si>
  <si>
    <t>MF1508</t>
  </si>
  <si>
    <t xml:space="preserve">Gawarakelle </t>
  </si>
  <si>
    <t>Pupula West</t>
  </si>
  <si>
    <t>Pupula</t>
  </si>
  <si>
    <t>Gowerakelle EstateDemodara</t>
  </si>
  <si>
    <t>MF1509</t>
  </si>
  <si>
    <t xml:space="preserve">Dehigama </t>
  </si>
  <si>
    <t>Dehigama EstateMurutalawa</t>
  </si>
  <si>
    <t>MF1510</t>
  </si>
  <si>
    <t>Agilma</t>
  </si>
  <si>
    <t>Divithura</t>
  </si>
  <si>
    <t>Shanthi LaneElpitiya</t>
  </si>
  <si>
    <t>MF1511</t>
  </si>
  <si>
    <t>Jayasinghe</t>
  </si>
  <si>
    <t>Batuwangala,Neluwa.</t>
  </si>
  <si>
    <t>MF1512</t>
  </si>
  <si>
    <t>Rozella</t>
  </si>
  <si>
    <t>320 E,Rozella</t>
  </si>
  <si>
    <t>Ambagamuwa KoraleNuwara Eliya</t>
  </si>
  <si>
    <t>MF1513</t>
  </si>
  <si>
    <t xml:space="preserve">New Baddegama </t>
  </si>
  <si>
    <t>Baddegama,Tawalantenne via,Baddegama.</t>
  </si>
  <si>
    <t>MF1514</t>
  </si>
  <si>
    <t>Athuraliya</t>
  </si>
  <si>
    <t>Athuraliya West 314-D</t>
  </si>
  <si>
    <t>Athuraliya,Akuressa,Matara.</t>
  </si>
  <si>
    <t>MF1515</t>
  </si>
  <si>
    <t xml:space="preserve">Geekiyanahena </t>
  </si>
  <si>
    <t>Sanasgama</t>
  </si>
  <si>
    <t>Sanasgama,Lellopitiya.</t>
  </si>
  <si>
    <t>MF1516</t>
  </si>
  <si>
    <t>Kanrich</t>
  </si>
  <si>
    <t>Horagoda West</t>
  </si>
  <si>
    <t>Horagoda Rd, HenegamaAkuressa</t>
  </si>
  <si>
    <t>MF1517</t>
  </si>
  <si>
    <t>Ahinsa</t>
  </si>
  <si>
    <t>238 Ihala Millawa</t>
  </si>
  <si>
    <t>Millawa</t>
  </si>
  <si>
    <t>Ihala Millawa,Morawaka.</t>
  </si>
  <si>
    <t>MF1518</t>
  </si>
  <si>
    <t>Co-Op Cola</t>
  </si>
  <si>
    <t>Dehigaspa</t>
  </si>
  <si>
    <t>Dehigaspe</t>
  </si>
  <si>
    <t>Deniyaya RoadKotapola</t>
  </si>
  <si>
    <t>MF1519</t>
  </si>
  <si>
    <t>Parakaduwa</t>
  </si>
  <si>
    <t>Paluwatta</t>
  </si>
  <si>
    <t>Subhodhi Mawatha,Parakaduwa.</t>
  </si>
  <si>
    <t>MF1520</t>
  </si>
  <si>
    <t>Lucky Weerapana</t>
  </si>
  <si>
    <t>Weerapana 229</t>
  </si>
  <si>
    <t>WeerapanaOpatha</t>
  </si>
  <si>
    <t>MF1521</t>
  </si>
  <si>
    <t>KIRIMETIYA</t>
  </si>
  <si>
    <t>Kirimetiya watte 186</t>
  </si>
  <si>
    <t>PottepitiyaMenikdiwela</t>
  </si>
  <si>
    <t>MF1522</t>
  </si>
  <si>
    <t>JAMES VALLEY</t>
  </si>
  <si>
    <t>Nawa Gurukelle</t>
  </si>
  <si>
    <t>New GurukelleDoluwaGampola</t>
  </si>
  <si>
    <t>MF1523</t>
  </si>
  <si>
    <t>UDAYAKANDA</t>
  </si>
  <si>
    <t>Welamboda</t>
  </si>
  <si>
    <t>184 BKandy RoadWelamboda</t>
  </si>
  <si>
    <t>MF1524</t>
  </si>
  <si>
    <t xml:space="preserve">Ambrosia Uva </t>
  </si>
  <si>
    <t>Welimada Town</t>
  </si>
  <si>
    <t>No 1Moragalle RoadWelimada</t>
  </si>
  <si>
    <t>MF1525</t>
  </si>
  <si>
    <t>SEETHA VALLEY</t>
  </si>
  <si>
    <t>Bio-Foods Ltd, New Gurukele, Doluwa, Gampola</t>
  </si>
  <si>
    <t>MF1526</t>
  </si>
  <si>
    <t>Hiniduma Hills</t>
  </si>
  <si>
    <t>Thawalama(N)22T</t>
  </si>
  <si>
    <t>Thawalama North</t>
  </si>
  <si>
    <t>MF1527</t>
  </si>
  <si>
    <t>Gangani</t>
  </si>
  <si>
    <t>Boralessa</t>
  </si>
  <si>
    <t>Kanontudawa</t>
  </si>
  <si>
    <t>Balfolocewatte, Kannanthudawa,Haltota.</t>
  </si>
  <si>
    <t>Millaniya</t>
  </si>
  <si>
    <t>MF1528</t>
  </si>
  <si>
    <t>MISA</t>
  </si>
  <si>
    <t>Gonagamuwa</t>
  </si>
  <si>
    <t>GonagamuwaYatiyanthotaKegalle</t>
  </si>
  <si>
    <t>MF1529</t>
  </si>
  <si>
    <t>Greenwin</t>
  </si>
  <si>
    <t>Bokaragoda</t>
  </si>
  <si>
    <t>No 34/8, Wandurabagewattha,Narawala,Poddala</t>
  </si>
  <si>
    <t>MF1530</t>
  </si>
  <si>
    <t>Kumudu</t>
  </si>
  <si>
    <t>Miriswatte 778A</t>
  </si>
  <si>
    <t>Miriswatta,Iththepana.</t>
  </si>
  <si>
    <t>MF1531</t>
  </si>
  <si>
    <t>Kolonne Panapitiya</t>
  </si>
  <si>
    <t>panapitiya</t>
  </si>
  <si>
    <t>Panapitiya, Ampagala</t>
  </si>
  <si>
    <t>MF1532</t>
  </si>
  <si>
    <t>LUCKYMEEGAHATHENNA</t>
  </si>
  <si>
    <t>844E Katukelle</t>
  </si>
  <si>
    <t>Katukele</t>
  </si>
  <si>
    <t>WelmeegodaMeegahathenna</t>
  </si>
  <si>
    <t>MF1533</t>
  </si>
  <si>
    <t>Talapalakanda</t>
  </si>
  <si>
    <t>Thalapalakanda,Beralapanathara.</t>
  </si>
  <si>
    <t>MF1534</t>
  </si>
  <si>
    <t>Passara Tea Shakthi</t>
  </si>
  <si>
    <t>Thalabowatte</t>
  </si>
  <si>
    <t>Talabowatte</t>
  </si>
  <si>
    <t>Talabowatte,Passara.</t>
  </si>
  <si>
    <t>MF1535</t>
  </si>
  <si>
    <t>Lucky Hiniduma</t>
  </si>
  <si>
    <t>Hiniduma North</t>
  </si>
  <si>
    <t>Newathimulla, Hiniduma.</t>
  </si>
  <si>
    <t>MF1536</t>
  </si>
  <si>
    <t>GUAYAPI LANKA</t>
  </si>
  <si>
    <t>Halpola</t>
  </si>
  <si>
    <t>Mausawatte, Pundalu Oya.</t>
  </si>
  <si>
    <t>MF1537</t>
  </si>
  <si>
    <t xml:space="preserve">Ayagama </t>
  </si>
  <si>
    <t>Kodikara Panguwa,Paragala,AyagamaRatnapura</t>
  </si>
  <si>
    <t>MF1538</t>
  </si>
  <si>
    <t>Neluwa Thiniyawala</t>
  </si>
  <si>
    <t>Thiniyawala 8842 A</t>
  </si>
  <si>
    <t>Thiniyawala</t>
  </si>
  <si>
    <t>14th Mile Post,Pelawatte Road,Thiniyawala.</t>
  </si>
  <si>
    <t>MF1539</t>
  </si>
  <si>
    <t>S.L.S</t>
  </si>
  <si>
    <t>Higgoda</t>
  </si>
  <si>
    <t>Malani Watte,Hikgoda,Akuressa.</t>
  </si>
  <si>
    <t>MF1540</t>
  </si>
  <si>
    <t>Seranya</t>
  </si>
  <si>
    <t>Welendawa</t>
  </si>
  <si>
    <t>Modaragoda</t>
  </si>
  <si>
    <t>Walpola,Imaduwa,Galle.</t>
  </si>
  <si>
    <t>MF1541</t>
  </si>
  <si>
    <t xml:space="preserve">Awonlea Hill </t>
  </si>
  <si>
    <t>Pahala Kadurugamuwa</t>
  </si>
  <si>
    <t>Pahala Kadugannawa</t>
  </si>
  <si>
    <t>Kapuwatte PatanaPahala Kadirugamuwa</t>
  </si>
  <si>
    <t>MF1542</t>
  </si>
  <si>
    <t>Andaradeniya</t>
  </si>
  <si>
    <t>Andaradeniya 244C</t>
  </si>
  <si>
    <t>C/o Batuwangala Tea FactoryMorawaka Rd.LelwalaNeluwa</t>
  </si>
  <si>
    <t>MF1543</t>
  </si>
  <si>
    <t>Samrin</t>
  </si>
  <si>
    <t>Pahala Thellambura</t>
  </si>
  <si>
    <t>Pahala Thellmbura,Yakkalamulla,Galle.</t>
  </si>
  <si>
    <t>MF1544</t>
  </si>
  <si>
    <t>HEDIGALLA</t>
  </si>
  <si>
    <t>Hedigalla, Mellagahawila</t>
  </si>
  <si>
    <t>MellagahawilaHadigallaBaduraliya</t>
  </si>
  <si>
    <t>MF1545</t>
  </si>
  <si>
    <t>Liyonta</t>
  </si>
  <si>
    <t>Dangala East</t>
  </si>
  <si>
    <t>Dangala,Alapaladeniya.</t>
  </si>
  <si>
    <t>MF1546</t>
  </si>
  <si>
    <t>Rambukkana</t>
  </si>
  <si>
    <t>Daluggala</t>
  </si>
  <si>
    <t>DaluggalaRambukkanaKegalle</t>
  </si>
  <si>
    <t>MF1547</t>
  </si>
  <si>
    <t>Makandura</t>
  </si>
  <si>
    <t>Beragama NorthMulatiyanaMatara</t>
  </si>
  <si>
    <t>MF1548</t>
  </si>
  <si>
    <t xml:space="preserve">Suviska </t>
  </si>
  <si>
    <t>Pahala Gigum Maduwa</t>
  </si>
  <si>
    <t>Suviska Co.(Pvt) LtdMawananaNeluwa</t>
  </si>
  <si>
    <t>MF1549</t>
  </si>
  <si>
    <t>Ranmeer</t>
  </si>
  <si>
    <t>Ela Ehala,Thawalama South,Galle.</t>
  </si>
  <si>
    <t>MF1550</t>
  </si>
  <si>
    <t>PARADISE</t>
  </si>
  <si>
    <t>Ganepella</t>
  </si>
  <si>
    <t>Thaligama,Yatitantita.</t>
  </si>
  <si>
    <t>MF1551</t>
  </si>
  <si>
    <t>Galahitiya</t>
  </si>
  <si>
    <t>Passalla</t>
  </si>
  <si>
    <t>Pussella,Parakaduwa.</t>
  </si>
  <si>
    <t>MF1552</t>
  </si>
  <si>
    <t xml:space="preserve">Sisiramba </t>
  </si>
  <si>
    <t>Udadelwala,Delwala,Ratnapura.</t>
  </si>
  <si>
    <t>MF1553</t>
  </si>
  <si>
    <t>New Spring View</t>
  </si>
  <si>
    <t>Walimaluwa</t>
  </si>
  <si>
    <t>Maswatte Road,WelimaluwaRatnapura</t>
  </si>
  <si>
    <t>MF1554</t>
  </si>
  <si>
    <t>Daduwangala CTC</t>
  </si>
  <si>
    <t>Millawitiya</t>
  </si>
  <si>
    <t>Millavitiya,Kuruwita.</t>
  </si>
  <si>
    <t>BF0005</t>
  </si>
  <si>
    <t>ARAMBEGAMA</t>
  </si>
  <si>
    <t>BF0006</t>
  </si>
  <si>
    <t>Deenside</t>
  </si>
  <si>
    <t>Keerapane</t>
  </si>
  <si>
    <t>DeensideKadugannawa Road,Gampola</t>
  </si>
  <si>
    <t>BF0016</t>
  </si>
  <si>
    <t>Hendeniya East No 10</t>
  </si>
  <si>
    <t>Daulagala Road,Penideniya, Peradeniya.</t>
  </si>
  <si>
    <t>BF0020</t>
  </si>
  <si>
    <t>Watadeniya</t>
  </si>
  <si>
    <t>Appallagoda West</t>
  </si>
  <si>
    <t>Watadeniya.</t>
  </si>
  <si>
    <t>BF0024</t>
  </si>
  <si>
    <t>New Kirimetideniya</t>
  </si>
  <si>
    <t>Paraduwa</t>
  </si>
  <si>
    <t>Pahuranwila</t>
  </si>
  <si>
    <t>ParaduwaAkuressa</t>
  </si>
  <si>
    <t>BF0026</t>
  </si>
  <si>
    <t>Majesty</t>
  </si>
  <si>
    <t>Delpitiya</t>
  </si>
  <si>
    <t>Waththahena</t>
  </si>
  <si>
    <t>No: 29 F,Waththahena Village,Atabage, Delpitiya.</t>
  </si>
  <si>
    <t>BF0028</t>
  </si>
  <si>
    <t>ORANGE FIELD</t>
  </si>
  <si>
    <t>PANVILATANNE</t>
  </si>
  <si>
    <t>Panwilatenna.Gampola</t>
  </si>
  <si>
    <t>BF0031</t>
  </si>
  <si>
    <t>UDAKADA</t>
  </si>
  <si>
    <t>Pelmadulla.</t>
  </si>
  <si>
    <t>BF0035</t>
  </si>
  <si>
    <t>Hill Side</t>
  </si>
  <si>
    <t>Yatalamaththa</t>
  </si>
  <si>
    <t>Wanduramba.Galle</t>
  </si>
  <si>
    <t>BF0043</t>
  </si>
  <si>
    <t xml:space="preserve">New Weliganga </t>
  </si>
  <si>
    <t>Ulapane South</t>
  </si>
  <si>
    <t>Ulapane,Gampola.</t>
  </si>
  <si>
    <t>BF0044</t>
  </si>
  <si>
    <t>Morawakkorale</t>
  </si>
  <si>
    <t>Hingurupangala</t>
  </si>
  <si>
    <t>Kotapola,Matara.</t>
  </si>
  <si>
    <t>BF0088</t>
  </si>
  <si>
    <t>JENNET VALLEY</t>
  </si>
  <si>
    <t>Atabage.</t>
  </si>
  <si>
    <t>BF0089</t>
  </si>
  <si>
    <t>GREEN VIEW</t>
  </si>
  <si>
    <t>Udarambukpitiya</t>
  </si>
  <si>
    <t>Ginigathhena RoadRabukpitiya Nawalapitiya</t>
  </si>
  <si>
    <t>BF0094</t>
  </si>
  <si>
    <t>GELIOYA</t>
  </si>
  <si>
    <t>Galioya.</t>
  </si>
  <si>
    <t>BF0111</t>
  </si>
  <si>
    <t>Pilimathalawa</t>
  </si>
  <si>
    <t>Pilimatalawa</t>
  </si>
  <si>
    <t>No.451,Colombo Road,Pilimathalawa</t>
  </si>
  <si>
    <t>BF0116</t>
  </si>
  <si>
    <t>Talgasyaya</t>
  </si>
  <si>
    <t>Walawwaththa</t>
  </si>
  <si>
    <t>Wadiyawatte,Narawala,Akmeemana.</t>
  </si>
  <si>
    <t>BF0119</t>
  </si>
  <si>
    <t>ALAWATTAHENA</t>
  </si>
  <si>
    <t>BF0120</t>
  </si>
  <si>
    <t>Graceland</t>
  </si>
  <si>
    <t>NARAWELA</t>
  </si>
  <si>
    <t>Narawala,Akmeemana.</t>
  </si>
  <si>
    <t>BF0123</t>
  </si>
  <si>
    <t>Malwattagama,Kurunduwatta.</t>
  </si>
  <si>
    <t>BF0132</t>
  </si>
  <si>
    <t>Roslin Hill</t>
  </si>
  <si>
    <t>Hindagala</t>
  </si>
  <si>
    <t>Galaha road,Hindagala,Peradeniya</t>
  </si>
  <si>
    <t>BF0133</t>
  </si>
  <si>
    <t>Polhena</t>
  </si>
  <si>
    <t>Matara.</t>
  </si>
  <si>
    <t>BF0138</t>
  </si>
  <si>
    <t>Pothotuwa</t>
  </si>
  <si>
    <t>BERALAPANATHARA North</t>
  </si>
  <si>
    <t>BF0140</t>
  </si>
  <si>
    <t>Kunduppakanda</t>
  </si>
  <si>
    <t>Angulugaha Pelawaththa</t>
  </si>
  <si>
    <t>Angulugaha,Galle.</t>
  </si>
  <si>
    <t>BF0143</t>
  </si>
  <si>
    <t>Templevally</t>
  </si>
  <si>
    <t>BF0146</t>
  </si>
  <si>
    <t xml:space="preserve">Ovinrich </t>
  </si>
  <si>
    <t>Dorawela</t>
  </si>
  <si>
    <t>135,Kaltota Road,Balangoda.</t>
  </si>
  <si>
    <t>BF0149</t>
  </si>
  <si>
    <t>Galle Gangaboda</t>
  </si>
  <si>
    <t>Galle</t>
  </si>
  <si>
    <t>BF0150</t>
  </si>
  <si>
    <t xml:space="preserve">Sherwood </t>
  </si>
  <si>
    <t>Kanthiriyanvala</t>
  </si>
  <si>
    <t>PinnawalaBalangoda</t>
  </si>
  <si>
    <t>BF0154</t>
  </si>
  <si>
    <t>Keppetiyagoda South</t>
  </si>
  <si>
    <t>Dewenigewatte, Keppetiyagoda,Nagoda, Galle.</t>
  </si>
  <si>
    <t>BF0155</t>
  </si>
  <si>
    <t>GANGALAGAMUWA</t>
  </si>
  <si>
    <t>Waddagala North</t>
  </si>
  <si>
    <t>WaddagalaKalawanaRatnapura</t>
  </si>
  <si>
    <t>BF0157</t>
  </si>
  <si>
    <t>Arbour Valley</t>
  </si>
  <si>
    <t>Beralapanthara</t>
  </si>
  <si>
    <t>Millagahahena GroupBeralapanathara</t>
  </si>
  <si>
    <t>BF0160</t>
  </si>
  <si>
    <t>Haycock Valley</t>
  </si>
  <si>
    <t xml:space="preserve">Panangala- west </t>
  </si>
  <si>
    <t>PanangalaThawalamaGalle</t>
  </si>
  <si>
    <t>BF0161</t>
  </si>
  <si>
    <t>Fairyland</t>
  </si>
  <si>
    <t>Welihena</t>
  </si>
  <si>
    <t>BF0162</t>
  </si>
  <si>
    <t>Perusinghe</t>
  </si>
  <si>
    <t>Weliwitiya North</t>
  </si>
  <si>
    <t>BF0163</t>
  </si>
  <si>
    <t xml:space="preserve">Delgoda </t>
  </si>
  <si>
    <t>Delgoda East</t>
  </si>
  <si>
    <t>Delgoda Estate,Kalawana.</t>
  </si>
  <si>
    <t>BF0165</t>
  </si>
  <si>
    <t>Dehiwatte</t>
  </si>
  <si>
    <t>Ambarapola</t>
  </si>
  <si>
    <t>Hapugahayatatenna,Handessa.</t>
  </si>
  <si>
    <t>BF0166</t>
  </si>
  <si>
    <t>Mahatenna</t>
  </si>
  <si>
    <t>Mahatenna Estate</t>
  </si>
  <si>
    <t>Mahatenna Watta,Yahalathanne.</t>
  </si>
  <si>
    <t>BF0169</t>
  </si>
  <si>
    <t>MERCANTILE</t>
  </si>
  <si>
    <t>BF0170</t>
  </si>
  <si>
    <t>Nildalukanda</t>
  </si>
  <si>
    <t>Liyangahawatta</t>
  </si>
  <si>
    <t>Kadugannawa Road,Welamboda</t>
  </si>
  <si>
    <t>BF0171</t>
  </si>
  <si>
    <t>New Fernland</t>
  </si>
  <si>
    <t>New Fernland EstateUlapane</t>
  </si>
  <si>
    <t>BF0172</t>
  </si>
  <si>
    <t xml:space="preserve">Wijaya </t>
  </si>
  <si>
    <t>222A,Urala South</t>
  </si>
  <si>
    <t>Urala,Wanduramba.</t>
  </si>
  <si>
    <t>BF0173</t>
  </si>
  <si>
    <t>Devonia</t>
  </si>
  <si>
    <t>Diyaduwa</t>
  </si>
  <si>
    <t>GaldolaKotapola</t>
  </si>
  <si>
    <t>BF0178</t>
  </si>
  <si>
    <t>New Kottawa Valley</t>
  </si>
  <si>
    <t>Kottawagama West</t>
  </si>
  <si>
    <t>Udugama Road,Thalgampola,Galle.</t>
  </si>
  <si>
    <t>BF0179</t>
  </si>
  <si>
    <t>AMBALAWA</t>
  </si>
  <si>
    <t>BF0181</t>
  </si>
  <si>
    <t xml:space="preserve">Rathna </t>
  </si>
  <si>
    <t>189,Mabotawana</t>
  </si>
  <si>
    <t>Mabotuwana</t>
  </si>
  <si>
    <t>Mabotuwana,Wanduramba.</t>
  </si>
  <si>
    <t>BF0183</t>
  </si>
  <si>
    <t>BADURALIYA</t>
  </si>
  <si>
    <t>Baduraliya</t>
  </si>
  <si>
    <t>BaduraliyaMathugama</t>
  </si>
  <si>
    <t>BF0184</t>
  </si>
  <si>
    <t>BALDURA</t>
  </si>
  <si>
    <t>Bowala</t>
  </si>
  <si>
    <t>Kdugannawa RoadBowelaGampola</t>
  </si>
  <si>
    <t>BF0186</t>
  </si>
  <si>
    <t>Nilwala</t>
  </si>
  <si>
    <t>Kodikaragoda</t>
  </si>
  <si>
    <t>KodikaragodaMorawaka</t>
  </si>
  <si>
    <t>BF0187</t>
  </si>
  <si>
    <t xml:space="preserve"> New Singhevalley</t>
  </si>
  <si>
    <t>Opataha,Akuressa.</t>
  </si>
  <si>
    <t>BF0188</t>
  </si>
  <si>
    <t>Kalubowitiyana</t>
  </si>
  <si>
    <t>Abewela</t>
  </si>
  <si>
    <t>MF1555</t>
  </si>
  <si>
    <t>M J F Beverages (Pvt) Limited</t>
  </si>
  <si>
    <t>111Negambo RoadPeliyagoda</t>
  </si>
  <si>
    <t>MF1556</t>
  </si>
  <si>
    <t>Asiri</t>
  </si>
  <si>
    <t>WAHALA KANANKEWELIPITIYAAKURESSAMATARA</t>
  </si>
  <si>
    <t>MF1557</t>
  </si>
  <si>
    <t xml:space="preserve">H P P </t>
  </si>
  <si>
    <t>Maminiyagodella</t>
  </si>
  <si>
    <t>MAHAMINIYANGODALLA</t>
  </si>
  <si>
    <t>MAMINIYAGODELLABULATHSINGHALA</t>
  </si>
  <si>
    <t>MF1558</t>
  </si>
  <si>
    <t>Aruna</t>
  </si>
  <si>
    <t>Kumbadoowa 849 E</t>
  </si>
  <si>
    <t>KUMBADUWA</t>
  </si>
  <si>
    <t>Kumbaduwa EstateKumbaduwa,Meegahathenna</t>
  </si>
  <si>
    <t>MF1559</t>
  </si>
  <si>
    <t>Wasantha</t>
  </si>
  <si>
    <t>Kevitiyagala North</t>
  </si>
  <si>
    <t>Kevitiyagala</t>
  </si>
  <si>
    <t>Kevitiyagala North,Polgampala,Agalawatta.</t>
  </si>
  <si>
    <t>Agalawatta</t>
  </si>
  <si>
    <t>MF1560</t>
  </si>
  <si>
    <t>KELANI VALLEY INSTANT TEA (PVT) LTD</t>
  </si>
  <si>
    <t>Kudaoya</t>
  </si>
  <si>
    <t>KUDA OYANUWARA ELIYA</t>
  </si>
  <si>
    <t>MF1561</t>
  </si>
  <si>
    <t xml:space="preserve">Dediyagala </t>
  </si>
  <si>
    <t>Dediyagala</t>
  </si>
  <si>
    <t>DEDIYAGALA</t>
  </si>
  <si>
    <t>DediyagalaMaliduwaAkuressa</t>
  </si>
  <si>
    <t>MF1562</t>
  </si>
  <si>
    <t xml:space="preserve">Sudugahahena </t>
  </si>
  <si>
    <t>Bamunugama East</t>
  </si>
  <si>
    <t>BAMUNUGAMA, MAHALPE</t>
  </si>
  <si>
    <t>Mahalpe,Horapawita,Kamburupitiya.</t>
  </si>
  <si>
    <t>MF1563</t>
  </si>
  <si>
    <t>Bothalegama</t>
  </si>
  <si>
    <t>BothalegamaBulathsinhalaHorana</t>
  </si>
  <si>
    <t>MF1564</t>
  </si>
  <si>
    <t>New Handugala</t>
  </si>
  <si>
    <t>Dehigahahena</t>
  </si>
  <si>
    <t>WalasmullaHandugala</t>
  </si>
  <si>
    <t>Walasmulla</t>
  </si>
  <si>
    <t>MF1565</t>
  </si>
  <si>
    <t>Lihiniyawa</t>
  </si>
  <si>
    <t>Lihiniyawa North</t>
  </si>
  <si>
    <t>Thalawa Road,Horangalla,Thalgaswela.</t>
  </si>
  <si>
    <t>MF0559</t>
  </si>
  <si>
    <t xml:space="preserve">Medagoda </t>
  </si>
  <si>
    <t>Wetakedeniya</t>
  </si>
  <si>
    <t>Wettakedeniya,Udahentenna,Gampola.</t>
  </si>
  <si>
    <t>MF1566</t>
  </si>
  <si>
    <t xml:space="preserve">Kinglynn Organic </t>
  </si>
  <si>
    <t>Weerakoongama</t>
  </si>
  <si>
    <t>No 04, Kumudu Mawatha, Primrose GardensKandy</t>
  </si>
  <si>
    <t>MF1567</t>
  </si>
  <si>
    <t>Chamwin Speciality Tea Processing Centre</t>
  </si>
  <si>
    <t>Rathnapura</t>
  </si>
  <si>
    <t>37 ASripada MawathaRatnapura</t>
  </si>
  <si>
    <t>MF1568</t>
  </si>
  <si>
    <t>Woodland</t>
  </si>
  <si>
    <t>Galabadahena</t>
  </si>
  <si>
    <t>Kiyaduwa,Akuressa.</t>
  </si>
  <si>
    <t>MF1569</t>
  </si>
  <si>
    <t>FOUR EVER SKIN NATURALS (PVT) LTD</t>
  </si>
  <si>
    <t>Balagolla</t>
  </si>
  <si>
    <t>1A,BOI Industrial ParkPallekelleKandy</t>
  </si>
  <si>
    <t>Kundasale</t>
  </si>
  <si>
    <t>MF1570</t>
  </si>
  <si>
    <t xml:space="preserve">Miyanawathura Refuse Tea Processing         </t>
  </si>
  <si>
    <t>Andaradeniya Estate (Pvt) LtdMorawaka RoadLelwalaNeluwa</t>
  </si>
  <si>
    <t>MF1571</t>
  </si>
  <si>
    <t>Kamarangapitiya</t>
  </si>
  <si>
    <t xml:space="preserve"> Udakada</t>
  </si>
  <si>
    <t>UdakadaPelmadullaRatnapura</t>
  </si>
  <si>
    <t>MF1572</t>
  </si>
  <si>
    <t>Karadana South</t>
  </si>
  <si>
    <t>Dammulla,Karadana.</t>
  </si>
  <si>
    <t>Eheliyagoda</t>
  </si>
  <si>
    <t>MF1573</t>
  </si>
  <si>
    <t>Sabaragamuwa</t>
  </si>
  <si>
    <t>Magammana</t>
  </si>
  <si>
    <t>Panawatte RoadMagammanaDehiowita</t>
  </si>
  <si>
    <t>MF1574</t>
  </si>
  <si>
    <t>Balagala</t>
  </si>
  <si>
    <t>370A Henegama West</t>
  </si>
  <si>
    <t>Kiyambuwa</t>
  </si>
  <si>
    <t>KiyaduwaAkuressa</t>
  </si>
  <si>
    <t>MF1575</t>
  </si>
  <si>
    <t>Elapatha Watta,Elapatha.</t>
  </si>
  <si>
    <t>MF1576</t>
  </si>
  <si>
    <t>MURUTHALAWA</t>
  </si>
  <si>
    <t>DehigamaYatinuwaraKandy</t>
  </si>
  <si>
    <t>MF1577</t>
  </si>
  <si>
    <t>Lenama Hills</t>
  </si>
  <si>
    <t>Lenama South</t>
  </si>
  <si>
    <t>Lenama</t>
  </si>
  <si>
    <t>No 181/A, Deegala,Lenama,Akuressa</t>
  </si>
  <si>
    <t>MF1578</t>
  </si>
  <si>
    <t>Lakvinka</t>
  </si>
  <si>
    <t>Galmola JunctionBengamuwa</t>
  </si>
  <si>
    <t>MF1579</t>
  </si>
  <si>
    <t>Deraniyagala Tea Shakthi</t>
  </si>
  <si>
    <t>Ilukthenna</t>
  </si>
  <si>
    <t>Malandeniya,Deraniyagala.</t>
  </si>
  <si>
    <t>MF1580</t>
  </si>
  <si>
    <t>Kolonne Kithulgala</t>
  </si>
  <si>
    <t>Kithulgala North</t>
  </si>
  <si>
    <t>No 208,Hatton Road,Gurumetiya Junction,Kithulgala.</t>
  </si>
  <si>
    <t>MF1581</t>
  </si>
  <si>
    <t>Galaboda Organic Green</t>
  </si>
  <si>
    <t>Yakabedda 360A</t>
  </si>
  <si>
    <t>Galaboda Group,Akuressa</t>
  </si>
  <si>
    <t>MF1582</t>
  </si>
  <si>
    <t>Kadawathgama</t>
  </si>
  <si>
    <t>No 167,Pahala KadugannawaKadugannawa</t>
  </si>
  <si>
    <t>MF1583</t>
  </si>
  <si>
    <t xml:space="preserve">ALFA VALLEY INSTANT </t>
  </si>
  <si>
    <t>Yatagala</t>
  </si>
  <si>
    <t>Yatagala,Karandeniya,Galle</t>
  </si>
  <si>
    <t>MF1584</t>
  </si>
  <si>
    <t>Colambaarachchi</t>
  </si>
  <si>
    <t>Horawala West</t>
  </si>
  <si>
    <t>32A,Aluthgama Road,Welipenna</t>
  </si>
  <si>
    <t>MF1585</t>
  </si>
  <si>
    <t>Menikdiwela</t>
  </si>
  <si>
    <t>Yatigammana</t>
  </si>
  <si>
    <t>Thismeda Road, Menikdiwela</t>
  </si>
  <si>
    <t>MF1586</t>
  </si>
  <si>
    <t>HDDES Extracts (Pvt) Ltd</t>
  </si>
  <si>
    <t>618 A,Poruwadanda</t>
  </si>
  <si>
    <t>Poruwadanda East</t>
  </si>
  <si>
    <t>13A, Export Processing Zone (B.O.I),Poruwadanda, Horana.</t>
  </si>
  <si>
    <t>MF1587</t>
  </si>
  <si>
    <t xml:space="preserve">New Thambiligala </t>
  </si>
  <si>
    <t>Ulapane Industrial Zone,Ulapane.</t>
  </si>
  <si>
    <t>MF1588</t>
  </si>
  <si>
    <t>Kelvin</t>
  </si>
  <si>
    <t>13/C Dedugala</t>
  </si>
  <si>
    <t>Ihalapelampitiya</t>
  </si>
  <si>
    <t>Dedugala,Bulathkohupitiya</t>
  </si>
  <si>
    <t>MF1589</t>
  </si>
  <si>
    <t xml:space="preserve">Martin Bauer Hayleys Tea Extract </t>
  </si>
  <si>
    <t>Ingestre-No.319-L</t>
  </si>
  <si>
    <t>Dickoya, Ginigathhena</t>
  </si>
  <si>
    <t>MF1590</t>
  </si>
  <si>
    <t>Gold Buds Uva Tea</t>
  </si>
  <si>
    <t>Badulla South,78</t>
  </si>
  <si>
    <t>Mailagastenna</t>
  </si>
  <si>
    <t>Kanupelella Road,Mailagasthenna,Badulla.</t>
  </si>
  <si>
    <t>MF1591</t>
  </si>
  <si>
    <t>Ethoya Waththa</t>
  </si>
  <si>
    <t>Ethoyawaththa,"B"Division,Ratnapura.</t>
  </si>
  <si>
    <t>MF1592</t>
  </si>
  <si>
    <t xml:space="preserve">Super Leaf </t>
  </si>
  <si>
    <t xml:space="preserve">Bohenaella </t>
  </si>
  <si>
    <t>Mawarakanda Watta,Thaligama,Kithulgala.</t>
  </si>
  <si>
    <t>MF1593</t>
  </si>
  <si>
    <t>J S P Nelun Dalla</t>
  </si>
  <si>
    <t>Ihala Neboda, Neboda</t>
  </si>
  <si>
    <t>Ihala Naboda,Naboda</t>
  </si>
  <si>
    <t>Dodangoda</t>
  </si>
  <si>
    <t>MF1594</t>
  </si>
  <si>
    <t>Rathmalgoda</t>
  </si>
  <si>
    <t>Rathmalgoda West</t>
  </si>
  <si>
    <t>Kandahena,Rathmalgoda,Poruwadanda.</t>
  </si>
  <si>
    <t>MF1595</t>
  </si>
  <si>
    <t>Ranaya</t>
  </si>
  <si>
    <t>Hinnarangalla</t>
  </si>
  <si>
    <t>Attampitiya</t>
  </si>
  <si>
    <t>RT0016</t>
  </si>
  <si>
    <t>Kooradeniya Tea Processing Center</t>
  </si>
  <si>
    <t>61, Kooradeniya Road,Welamboda.</t>
  </si>
  <si>
    <t>RT0280</t>
  </si>
  <si>
    <t>Golden Green Tea Processing Center</t>
  </si>
  <si>
    <t>Ketakumbura</t>
  </si>
  <si>
    <t>84A, Ketakumbura,Leemagahakotuwa</t>
  </si>
  <si>
    <t>RT0335</t>
  </si>
  <si>
    <t>Leaf Land's Tea Processing Center</t>
  </si>
  <si>
    <t>Batupitiya</t>
  </si>
  <si>
    <t>82/D, Batupitiya,Bambaradeniya</t>
  </si>
  <si>
    <t>RT0388</t>
  </si>
  <si>
    <t>Diggala Enterprices Tea Processing Center</t>
  </si>
  <si>
    <t>Embekka223</t>
  </si>
  <si>
    <t>223, Embekka Road,Hapugahayatathenna,Handessa.</t>
  </si>
  <si>
    <t>RT0412</t>
  </si>
  <si>
    <t>J A M Miras Tea Processing Center</t>
  </si>
  <si>
    <t>107, Ambagastenna,Welamboda.</t>
  </si>
  <si>
    <t>RT0520</t>
  </si>
  <si>
    <t>Tea House Tea Processing Center</t>
  </si>
  <si>
    <t>Rambukpitiya</t>
  </si>
  <si>
    <t>No;07,Ginigathhena Road,Rambukpitiya,Nawalapitiya.</t>
  </si>
  <si>
    <t>RT0082</t>
  </si>
  <si>
    <t>Alkamada Enterprices</t>
  </si>
  <si>
    <t>Daskara</t>
  </si>
  <si>
    <t>63/3/4,Alkamada,Daskara, Muruthagahamula</t>
  </si>
  <si>
    <t>RT0175</t>
  </si>
  <si>
    <t>35 C-Ketakumbura,Leemagahakotuwa.</t>
  </si>
  <si>
    <t>RT0524</t>
  </si>
  <si>
    <t>Mallanda</t>
  </si>
  <si>
    <t>132A, Lower Donside Estate,Mallanda,Nawalapitiya.</t>
  </si>
  <si>
    <t>RT0538</t>
  </si>
  <si>
    <t>Allewela</t>
  </si>
  <si>
    <t>73/1, Dalwatiya Road,Allewela,Welamboda.</t>
  </si>
  <si>
    <t>RT0540</t>
  </si>
  <si>
    <t>Harangalla Plantation (Pvt)Ltd,Kataboola via,Nawalapitiya.</t>
  </si>
  <si>
    <t>RT0504</t>
  </si>
  <si>
    <t>Babilla</t>
  </si>
  <si>
    <t>Gampola East (110)</t>
  </si>
  <si>
    <t>No 211/E,Kahatapitiya , Gampola.</t>
  </si>
  <si>
    <t>RT0507</t>
  </si>
  <si>
    <t>JAYA LAND</t>
  </si>
  <si>
    <t>Galpaditenne Tea Factory,Lellopitiya,Ratnapura.</t>
  </si>
  <si>
    <t>MF1596</t>
  </si>
  <si>
    <t>Liverpool</t>
  </si>
  <si>
    <t>No, 07,Ginigathhena road,Rambukpitiya,Nawalapitiya.</t>
  </si>
  <si>
    <t>HT0001</t>
  </si>
  <si>
    <t>Glenwood Reserve</t>
  </si>
  <si>
    <t>Poramadulla 4098A</t>
  </si>
  <si>
    <t>Johnsland,Hanguranketha,Nuwara Eliya.</t>
  </si>
  <si>
    <t>Hanguranketha</t>
  </si>
  <si>
    <t>HT0002</t>
  </si>
  <si>
    <t>ECO</t>
  </si>
  <si>
    <t>Kosgoda -154E</t>
  </si>
  <si>
    <t>Hidellana Tea Factory (Pvt) Ltd,Hidellana ,Ratnapura.</t>
  </si>
  <si>
    <t>HT0003</t>
  </si>
  <si>
    <t xml:space="preserve">Macduff </t>
  </si>
  <si>
    <t>Meraya</t>
  </si>
  <si>
    <t>Macduff Estate,Lindula.</t>
  </si>
  <si>
    <t>MF1597</t>
  </si>
  <si>
    <t>Tea Bush</t>
  </si>
  <si>
    <t>Rambodagam 494</t>
  </si>
  <si>
    <t>Tea BushEstate,Rambodagama,Kothmale.</t>
  </si>
  <si>
    <t>MF1598</t>
  </si>
  <si>
    <t>Ethical Extracts</t>
  </si>
  <si>
    <t>287A Ranmuthugala</t>
  </si>
  <si>
    <t>No.334,T.B.Jayah Mw,Kadawatha.</t>
  </si>
  <si>
    <t>HT0004</t>
  </si>
  <si>
    <t>AMBA Estate Hand-made</t>
  </si>
  <si>
    <t>Babaragama -70</t>
  </si>
  <si>
    <t>Ambaragama,Bandarawela.</t>
  </si>
  <si>
    <t>RT0132</t>
  </si>
  <si>
    <t>Glormex</t>
  </si>
  <si>
    <t>251/1,Hapugahayatatenna,Handessa.</t>
  </si>
  <si>
    <t>RT0362</t>
  </si>
  <si>
    <t>Hadurama</t>
  </si>
  <si>
    <t>72/1, Hadurama,Dalkotuwa,Welamboda.</t>
  </si>
  <si>
    <t>RT0107</t>
  </si>
  <si>
    <t>Liyanagahawata Tea Processing Center</t>
  </si>
  <si>
    <t>WElamboda</t>
  </si>
  <si>
    <t>132/5,Liyanagahawatta Road,Welamboda.</t>
  </si>
  <si>
    <t>RT0456</t>
  </si>
  <si>
    <t>Hansi Tea Processing Center</t>
  </si>
  <si>
    <t>Divitura Welipitiya</t>
  </si>
  <si>
    <t>Maddawila,Ethkandara</t>
  </si>
  <si>
    <t>Galle Four Gravert</t>
  </si>
  <si>
    <t>RT0039</t>
  </si>
  <si>
    <t>Nifraz Traders Tea Processing Center</t>
  </si>
  <si>
    <t>62-Hathnagoda</t>
  </si>
  <si>
    <t>59/1,Daskara,Muruthagahamula.</t>
  </si>
  <si>
    <t>RT0557</t>
  </si>
  <si>
    <t>Mount Valley</t>
  </si>
  <si>
    <t>43D,Kandy Road,Welamboda.</t>
  </si>
  <si>
    <t>RT0079</t>
  </si>
  <si>
    <t>Polkollagollawatta</t>
  </si>
  <si>
    <t>Liyangahawatte</t>
  </si>
  <si>
    <t>No 9/A, Polkollagollawatta,Liyangahawatta,Welamboda.</t>
  </si>
  <si>
    <t>RT0308</t>
  </si>
  <si>
    <t xml:space="preserve">Rafeek Rijwan </t>
  </si>
  <si>
    <t>57-Batupitiya</t>
  </si>
  <si>
    <t>82 1/3,Batupitiya,Bambaradeniya.</t>
  </si>
  <si>
    <t>Daulagala</t>
  </si>
  <si>
    <t>RT0379</t>
  </si>
  <si>
    <t>Winfield</t>
  </si>
  <si>
    <t>Daskara -61</t>
  </si>
  <si>
    <t>49/1,Wegiriya Road,Daskara,Muruthagahamula.</t>
  </si>
  <si>
    <t>RT0465</t>
  </si>
  <si>
    <t>Pathahadeniya</t>
  </si>
  <si>
    <t>36/10,Kandy Road,Welamboda.</t>
  </si>
  <si>
    <t>RT0321</t>
  </si>
  <si>
    <t>Ecoleaf</t>
  </si>
  <si>
    <t>Embekka</t>
  </si>
  <si>
    <t>223/10/01,Embekka Road,Hapugahayatatenna,Handessa.</t>
  </si>
  <si>
    <t>RT0196</t>
  </si>
  <si>
    <t>Maddegoda</t>
  </si>
  <si>
    <t>Batupitiya - 57</t>
  </si>
  <si>
    <t>No 3/A,Batupitiya,Leemagahakotuwa.</t>
  </si>
  <si>
    <t>RT0234</t>
  </si>
  <si>
    <t>Binoy</t>
  </si>
  <si>
    <t>88A-Randombe South</t>
  </si>
  <si>
    <t>733,Galle Road,Randombe.</t>
  </si>
  <si>
    <t>Balapitiya</t>
  </si>
  <si>
    <t>RT0252</t>
  </si>
  <si>
    <t>Southern Valley</t>
  </si>
  <si>
    <t>No 7/7,Galle Road,Randombe,Ambalangoda.</t>
  </si>
  <si>
    <t>RT0045</t>
  </si>
  <si>
    <t>Thanahandeniya</t>
  </si>
  <si>
    <t>30A,Thanahandeniyawatta,Welamboda.</t>
  </si>
  <si>
    <t>RT0136</t>
  </si>
  <si>
    <t>Pelketiya</t>
  </si>
  <si>
    <t>10/67,Kandy Road,Welamboda.</t>
  </si>
  <si>
    <t>MF1599</t>
  </si>
  <si>
    <t>Canora</t>
  </si>
  <si>
    <t>Hingula</t>
  </si>
  <si>
    <t>Owatha Road,Hingula.</t>
  </si>
  <si>
    <t>Mawanella</t>
  </si>
  <si>
    <t>RT0511</t>
  </si>
  <si>
    <t>Super Tea Processing Center</t>
  </si>
  <si>
    <t>177/4,Kandy Rd,Welamboda.</t>
  </si>
  <si>
    <t>RT0263</t>
  </si>
  <si>
    <t>Wimalagiri Tea Processing Center</t>
  </si>
  <si>
    <t>Kumudu,Waththahena,Thalgaswala.</t>
  </si>
  <si>
    <t>RT0348</t>
  </si>
  <si>
    <t>Weliwattha Tea Processing Center</t>
  </si>
  <si>
    <t>No.30,Ketakumbura,Leemagahakotuwa.</t>
  </si>
  <si>
    <t>RT0581</t>
  </si>
  <si>
    <t>Olga Tea Processing Center</t>
  </si>
  <si>
    <t>Horagoda-west</t>
  </si>
  <si>
    <t>Andadolahena,Horagoda,Thelijjawila.</t>
  </si>
  <si>
    <t>RT0592</t>
  </si>
  <si>
    <t>Romaclo Beverages (pvt) Ltd Tea Processing Center</t>
  </si>
  <si>
    <t>Kumbaduwa</t>
  </si>
  <si>
    <t>Kumbaduwa waththa,Kumbaduwa,Meegahatenna.</t>
  </si>
  <si>
    <t>RT0352</t>
  </si>
  <si>
    <t>Henawatta Tea Processing Center</t>
  </si>
  <si>
    <t>Welamboda -100</t>
  </si>
  <si>
    <t>No.34/K,Liyangahawatte,Welamboda.</t>
  </si>
  <si>
    <t>MF1600</t>
  </si>
  <si>
    <t xml:space="preserve">K.B.N Ceylon </t>
  </si>
  <si>
    <t>NARANGALA</t>
  </si>
  <si>
    <t>K.B.N Agencies,Narangala,Matara.</t>
  </si>
  <si>
    <t>Thihagoda</t>
  </si>
  <si>
    <t>RT0589</t>
  </si>
  <si>
    <t>Galpeththa Tea Processing Center</t>
  </si>
  <si>
    <t>174C,Ihala Koobala</t>
  </si>
  <si>
    <t>Akkara 03, Galpoththa,Kombala, Imaduwa.</t>
  </si>
  <si>
    <t>RT0392</t>
  </si>
  <si>
    <t xml:space="preserve">Golden Tea </t>
  </si>
  <si>
    <t>Ellegedara</t>
  </si>
  <si>
    <t>Panukerupitiya,Hidellana,Ratnapura.</t>
  </si>
  <si>
    <t>RT0271</t>
  </si>
  <si>
    <t>Paluwaththa</t>
  </si>
  <si>
    <t>Paluwaththa,Porawagama.</t>
  </si>
  <si>
    <t>RT0583</t>
  </si>
  <si>
    <t xml:space="preserve">Morahela Tea Processing Centre </t>
  </si>
  <si>
    <t>Panvila -729</t>
  </si>
  <si>
    <t>33/B, Morahela, Bambarella Road,Panvila.</t>
  </si>
  <si>
    <t>MF0302</t>
  </si>
  <si>
    <t>Ulugedara</t>
  </si>
  <si>
    <t>Neludanda 56D</t>
  </si>
  <si>
    <t>Neludanda</t>
  </si>
  <si>
    <t>Deensland Estate,Ettampitiya.</t>
  </si>
  <si>
    <t>RT0609</t>
  </si>
  <si>
    <t>Hingula-29</t>
  </si>
  <si>
    <t>Owatta Road,Hingula.</t>
  </si>
  <si>
    <t>RT0626</t>
  </si>
  <si>
    <t>S L S Warehousing</t>
  </si>
  <si>
    <t>623 East- Handapangoda</t>
  </si>
  <si>
    <t>No 187/C/1,Temple Juntion,Handapangoda.</t>
  </si>
  <si>
    <t>HT0005</t>
  </si>
  <si>
    <t>Ebony Springs Hand-made</t>
  </si>
  <si>
    <t>314A Ambagamuwa East</t>
  </si>
  <si>
    <t>Agraoya,Ambagamuwa.</t>
  </si>
  <si>
    <t>DF0001</t>
  </si>
  <si>
    <t>New Giragama</t>
  </si>
  <si>
    <t>Mr.M.M.D.M.Marasinghe92/9,Delgahawaththa,Giragama,Pilimathalawa.</t>
  </si>
  <si>
    <t>RT0340</t>
  </si>
  <si>
    <t>Asma Tea Processing Center</t>
  </si>
  <si>
    <t>100-Welamboda</t>
  </si>
  <si>
    <t>No 36/13, Kandy road,Welamboda.</t>
  </si>
  <si>
    <t>HT0006</t>
  </si>
  <si>
    <t>Bibilekandura Hand-made</t>
  </si>
  <si>
    <t>Ethpattiya-136A</t>
  </si>
  <si>
    <t>Ethpattiya,Bibilegama.</t>
  </si>
  <si>
    <t>RT0189</t>
  </si>
  <si>
    <t>Dalukotuwa</t>
  </si>
  <si>
    <t>100- Welamboda</t>
  </si>
  <si>
    <t>No 77/1,Dalukotuwa,Welamboda.</t>
  </si>
  <si>
    <t>MF1601</t>
  </si>
  <si>
    <t>Blue Hills</t>
  </si>
  <si>
    <t>Pinnawala,Balangoda</t>
  </si>
  <si>
    <t>RT0190</t>
  </si>
  <si>
    <t>Vidhanage</t>
  </si>
  <si>
    <t>72/1A,Hadarama,Welamboda</t>
  </si>
  <si>
    <t>RT0627</t>
  </si>
  <si>
    <t>M N A Tea Monarchs Tea Processing Center</t>
  </si>
  <si>
    <t>Bambaradeniya</t>
  </si>
  <si>
    <t>158/A,Bambaradeniya,Leemagahakotuwa.</t>
  </si>
  <si>
    <t>HT0007</t>
  </si>
  <si>
    <t>C R A Ceylon Hand Made</t>
  </si>
  <si>
    <t>39/5,Karadiyamulla,Balangoda.</t>
  </si>
  <si>
    <t>RT0003</t>
  </si>
  <si>
    <t>Panamora Tea Processing Center</t>
  </si>
  <si>
    <t>No;36/A/1, Batupitiya,Leemagahakotuwa.</t>
  </si>
  <si>
    <t>RT0009</t>
  </si>
  <si>
    <t>Ashari Tea Processing Center</t>
  </si>
  <si>
    <t>56-Ketakumbura</t>
  </si>
  <si>
    <t>No;62/B,Ketakumbura,Leemagahakotuwa,Kandy.</t>
  </si>
  <si>
    <t>RT0623</t>
  </si>
  <si>
    <t>Ganahinna Tea Processing Center</t>
  </si>
  <si>
    <t>No;88,Ganahinna,Welamboda.</t>
  </si>
  <si>
    <t>RT0353</t>
  </si>
  <si>
    <t>Orange Valley Tea Processing center</t>
  </si>
  <si>
    <t>64/8,Daskara,Muruthagahamula.</t>
  </si>
  <si>
    <t>RT0030</t>
  </si>
  <si>
    <t>Wegiriya Tea Processing Center</t>
  </si>
  <si>
    <t>No;28/B,Ketakumbura,Leemagahakotuwa.</t>
  </si>
  <si>
    <t>HT0008</t>
  </si>
  <si>
    <t xml:space="preserve">Dunumadalawa Hand Made </t>
  </si>
  <si>
    <t>Nikahetiya</t>
  </si>
  <si>
    <t>Nikahatiya,Wattappola,Dunumadalawa.</t>
  </si>
  <si>
    <t>HT0009</t>
  </si>
  <si>
    <t>Anakolla Tea Trails</t>
  </si>
  <si>
    <t>Pupuressa (No1181)</t>
  </si>
  <si>
    <t>Anakolla Estate,Pupuressa.</t>
  </si>
  <si>
    <t>HT0010</t>
  </si>
  <si>
    <t xml:space="preserve">Iona Specially Hand Made Tea </t>
  </si>
  <si>
    <t>Elabadda</t>
  </si>
  <si>
    <t>Inoa Estate,Agarapathana.</t>
  </si>
  <si>
    <t>RT0022</t>
  </si>
  <si>
    <t>Green Forest Tea Processing Center</t>
  </si>
  <si>
    <t>Hathnagoda</t>
  </si>
  <si>
    <t>No;7/B/2, Daskara,Muruthagahamula.</t>
  </si>
  <si>
    <t>HT0011</t>
  </si>
  <si>
    <t>Enasaldola Estate Specialty Hand Made</t>
  </si>
  <si>
    <t>Illukpitiya</t>
  </si>
  <si>
    <t>Shramadana Mawatha,Galdola,Kotapola.</t>
  </si>
  <si>
    <t>HT0012</t>
  </si>
  <si>
    <t>Forest Hill Specialty Hand Made</t>
  </si>
  <si>
    <t>Gangaboda,Erathna</t>
  </si>
  <si>
    <t>188/A/03, Hospital Road,Erathna,Kuruwita.</t>
  </si>
  <si>
    <t>RT0595</t>
  </si>
  <si>
    <t>Royal Ceylon Tea Processing Center</t>
  </si>
  <si>
    <t>Ambekka</t>
  </si>
  <si>
    <t>No: 41,Ambekka Road,Hapugahayatatenna.</t>
  </si>
  <si>
    <t>HT0013</t>
  </si>
  <si>
    <t>Oddington Specialty Hand Made</t>
  </si>
  <si>
    <t>Rahanwatte 475</t>
  </si>
  <si>
    <t>Oddington</t>
  </si>
  <si>
    <t>Lot 27,Prime Lindula,Rahanwatte,Lindula.</t>
  </si>
  <si>
    <t>RT0384</t>
  </si>
  <si>
    <t>Goldefield</t>
  </si>
  <si>
    <t>249,Ambarapola,Handessa.</t>
  </si>
  <si>
    <t>HT0014</t>
  </si>
  <si>
    <t>Delicate Buds Specialty Hand Made</t>
  </si>
  <si>
    <t>Menikdiwela -No 127</t>
  </si>
  <si>
    <t>139/4, Sun Dance Hill, Sea Field Estate, Menikdiwela.</t>
  </si>
  <si>
    <t>HT0015</t>
  </si>
  <si>
    <t>Samanala Specialty Hand Made</t>
  </si>
  <si>
    <t>Ratkarauwwa</t>
  </si>
  <si>
    <t>Ambathenna</t>
  </si>
  <si>
    <t>Ambathenna,Ratkarauwwa.</t>
  </si>
  <si>
    <t>HT0016</t>
  </si>
  <si>
    <t>Kurundugahadola Specialty Hand Made</t>
  </si>
  <si>
    <t>79/2,Mangalasiri,Karawita.</t>
  </si>
  <si>
    <t>RT0647</t>
  </si>
  <si>
    <t>Samanalakanda Refuse Tea Processing Center</t>
  </si>
  <si>
    <t>Yatiwala,Deraniyagala.</t>
  </si>
  <si>
    <t>HT0017</t>
  </si>
  <si>
    <t>Trio Ventures Specialty Hand Made</t>
  </si>
  <si>
    <t>Gigumthenna</t>
  </si>
  <si>
    <t>Karanketiya</t>
  </si>
  <si>
    <t>No;410/8,2nd Lane,Colombo road,Gampaha.</t>
  </si>
  <si>
    <t>HT0019</t>
  </si>
  <si>
    <t>The Asendle Waters Specialty Hand Made</t>
  </si>
  <si>
    <t>Gawaragiriya</t>
  </si>
  <si>
    <t>Kabaragala Estate,Gawaragiriya,Ayagama.</t>
  </si>
  <si>
    <t>HT0018</t>
  </si>
  <si>
    <t>Blackwoods Farm House Specailty Hand Made</t>
  </si>
  <si>
    <t>Viharagala</t>
  </si>
  <si>
    <t>Lower Blackwood</t>
  </si>
  <si>
    <t>Lower Blackwood,Kiriwanagama road,Nikapotha.</t>
  </si>
  <si>
    <t>MF1602</t>
  </si>
  <si>
    <t>Arambegama South</t>
  </si>
  <si>
    <t>92/9,Delgahawaththa,Giragama,Pilimathalawa.</t>
  </si>
  <si>
    <t>RT0619</t>
  </si>
  <si>
    <t>Hillfield Tea Re Processing Centre</t>
  </si>
  <si>
    <t>No;35/2, Liyanagahawatte road,Welamboda.</t>
  </si>
  <si>
    <t>RT0621</t>
  </si>
  <si>
    <t>Kew Garden Tea re Processing Centre</t>
  </si>
  <si>
    <t>No;67/15,Kandy road,Welamboda.</t>
  </si>
  <si>
    <t>RT0652</t>
  </si>
  <si>
    <t>Welikanda Tea Re Processing Center</t>
  </si>
  <si>
    <t>No;284/23,Hewa@gmail.comnwewa,Pundaluoya.</t>
  </si>
  <si>
    <t>HT0020</t>
  </si>
  <si>
    <t xml:space="preserve">Hidden Hills Hand Made </t>
  </si>
  <si>
    <t>Ikukovita</t>
  </si>
  <si>
    <t>Gatamaruwa Mawatha,Dunkolahena,Puwakpitiya.</t>
  </si>
  <si>
    <t>MF1603</t>
  </si>
  <si>
    <t>N.I.P.M Learning Centre</t>
  </si>
  <si>
    <t>Thunandahena 488-B</t>
  </si>
  <si>
    <t>M.D.H.Jayawardene Mawatha,Athurugiriya.</t>
  </si>
  <si>
    <t>Kaduwela</t>
  </si>
  <si>
    <t>MF0990</t>
  </si>
  <si>
    <t xml:space="preserve">Blossoms Uva </t>
  </si>
  <si>
    <t>Kahataruppa</t>
  </si>
  <si>
    <t>Kahataruppa,Kuttiyagolla,Badulla.</t>
  </si>
  <si>
    <t>RT0656</t>
  </si>
  <si>
    <t>Sussex Re Processing Center</t>
  </si>
  <si>
    <t>533,Ankumbura North</t>
  </si>
  <si>
    <t>392,Main Street,Matale.</t>
  </si>
  <si>
    <t>HT0021</t>
  </si>
  <si>
    <t>Rosyth Estate House Hand Made</t>
  </si>
  <si>
    <t>Siyabalapitiya</t>
  </si>
  <si>
    <t>Pussela</t>
  </si>
  <si>
    <t>Rosyth Estate,Pussela,Kegalle.</t>
  </si>
  <si>
    <t>HT0022</t>
  </si>
  <si>
    <t>Tea Tip Ceylon Hand Made Tea</t>
  </si>
  <si>
    <t>LIyanagoda</t>
  </si>
  <si>
    <t>No 1179/2,Kottawa Malabe Road,Pannipitiya</t>
  </si>
  <si>
    <t>Maharagama</t>
  </si>
  <si>
    <t>HT0023</t>
  </si>
  <si>
    <t xml:space="preserve">Rocky Mark Hand Made Tea </t>
  </si>
  <si>
    <t>Pavithragara,Rilhena,Pelmadulla</t>
  </si>
  <si>
    <t>HT0024</t>
  </si>
  <si>
    <t xml:space="preserve">Gongauwa Hand Made </t>
  </si>
  <si>
    <t>Kottawa West</t>
  </si>
  <si>
    <t>8/19/1, Dissanayaka Mawatha,Anangoda, Galle</t>
  </si>
  <si>
    <t>HT0025</t>
  </si>
  <si>
    <t xml:space="preserve">Glen Nevis Hand Made </t>
  </si>
  <si>
    <t>745-Elliyadda</t>
  </si>
  <si>
    <t>81, Rajamalwatte Road,Battaramulla</t>
  </si>
  <si>
    <t>HT0026</t>
  </si>
  <si>
    <t>Yasmeen Tea Paradise Hand Made</t>
  </si>
  <si>
    <t>33B, Boraluhena</t>
  </si>
  <si>
    <t>No 20, Jayapura,Kottawa</t>
  </si>
  <si>
    <t>HT0027</t>
  </si>
  <si>
    <t>Shakyan Tea Valley Hand Made</t>
  </si>
  <si>
    <t>830B, Yatiyana West</t>
  </si>
  <si>
    <t>Yatiyana</t>
  </si>
  <si>
    <t>No 21, Asapuwa Road,Wetthewa, Matugama</t>
  </si>
  <si>
    <t>HT0028</t>
  </si>
  <si>
    <t>Onrich Estate Handmade</t>
  </si>
  <si>
    <t>848C, Halawalkelle</t>
  </si>
  <si>
    <t>Halwalakelle,Walallavita</t>
  </si>
  <si>
    <t>HT0029</t>
  </si>
  <si>
    <t>Luck Nature Export Handmade</t>
  </si>
  <si>
    <t>235, Panagoda</t>
  </si>
  <si>
    <t>Kadihingala,Pannimulla,Panagoda, Neluwa,Neluwa</t>
  </si>
  <si>
    <t>HT0030</t>
  </si>
  <si>
    <t>S.P.R. Handmade</t>
  </si>
  <si>
    <t>Kappetiyagaha Landa</t>
  </si>
  <si>
    <t>S P R Estate, Alawathugoda Watta,Puwak Watta,Darga Town</t>
  </si>
  <si>
    <t>HT0031</t>
  </si>
  <si>
    <t>Breezeway Handmade</t>
  </si>
  <si>
    <t>192,Ampegama</t>
  </si>
  <si>
    <t>Manahara Piyasa,Ampegama North,Ampegama.</t>
  </si>
  <si>
    <t>HT0032</t>
  </si>
  <si>
    <t>R &amp; A Handmade</t>
  </si>
  <si>
    <t>Ammaduwa</t>
  </si>
  <si>
    <t>Rajapaksha Estate,Ammaduwa, Ranwala,Godakawela</t>
  </si>
  <si>
    <t>Weligepola</t>
  </si>
  <si>
    <t>HT0033</t>
  </si>
  <si>
    <t xml:space="preserve">Malmorakanda Estate - </t>
  </si>
  <si>
    <t>Pathiragoda</t>
  </si>
  <si>
    <t>Vihansa, Pathiragoda Road,Thalgaha, Akmeemana.</t>
  </si>
  <si>
    <t>HT0034</t>
  </si>
  <si>
    <t>Blater Hill Handmade</t>
  </si>
  <si>
    <t>848C, Halwalakelle</t>
  </si>
  <si>
    <t>Galkissa Watta,Halwalakelle, Meegahatenna.</t>
  </si>
  <si>
    <t>HT0036</t>
  </si>
  <si>
    <t>Calvarees Handmade</t>
  </si>
  <si>
    <t>Hiniduma -North</t>
  </si>
  <si>
    <t>56, Athkam Niwasa Road, Hingalgoda, Hiniduma.</t>
  </si>
  <si>
    <t>HT0037</t>
  </si>
  <si>
    <t>Morakanda Tea- Handmade</t>
  </si>
  <si>
    <t>Rekadahena 94-H</t>
  </si>
  <si>
    <t>Indigahawila,Kahaduwa</t>
  </si>
  <si>
    <t>HT0038</t>
  </si>
  <si>
    <t>Eighty Acers state Handmade</t>
  </si>
  <si>
    <t>848C, Halwalkelle</t>
  </si>
  <si>
    <t>Halawalkelle,Dodampapitiya,Mathugama</t>
  </si>
  <si>
    <t>HT0039</t>
  </si>
  <si>
    <t>Jansu Exports Handmade</t>
  </si>
  <si>
    <t>26 A Ihala Elpitiya</t>
  </si>
  <si>
    <t>No 78, Mihindu Mawatha, Elpitiya.</t>
  </si>
  <si>
    <t>HT0040</t>
  </si>
  <si>
    <t>Sun Green Handmade</t>
  </si>
  <si>
    <t>Anhettigama</t>
  </si>
  <si>
    <t>A/160/D, Panwila WatteAnhettigama</t>
  </si>
  <si>
    <t>HT0041</t>
  </si>
  <si>
    <t>Dewra Handmade</t>
  </si>
  <si>
    <t>Pallegama North</t>
  </si>
  <si>
    <t>Sirimal Estate B,Pallegama North,Kolawenigama.</t>
  </si>
  <si>
    <t>MF1604</t>
  </si>
  <si>
    <t>Kingswood</t>
  </si>
  <si>
    <t>Ramboda</t>
  </si>
  <si>
    <t>Kingswood Tea Factory (Pvt) LtdUpper Bazzar, Ramboda Watta,Ramboda.</t>
  </si>
  <si>
    <t>MF1605</t>
  </si>
  <si>
    <t>Golden Grove</t>
  </si>
  <si>
    <t>184B, Kandy Road,Welamboda.</t>
  </si>
  <si>
    <t>RT0482</t>
  </si>
  <si>
    <t>Golden Super Tea Re Processing Centre</t>
  </si>
  <si>
    <t>625 Arakawila</t>
  </si>
  <si>
    <t>Arakawila</t>
  </si>
  <si>
    <t>No; 34, Arakawila,Hadapangoda.</t>
  </si>
  <si>
    <t>RT0671</t>
  </si>
  <si>
    <t>Jawa Ceylon Tea Re Processing Cetre</t>
  </si>
  <si>
    <t>788/B, Magurumaswila</t>
  </si>
  <si>
    <t>Magurumaswila</t>
  </si>
  <si>
    <t>Pelawatte Road,Magurumaswila,Walallawita.</t>
  </si>
  <si>
    <t>HT0045</t>
  </si>
  <si>
    <t xml:space="preserve">Fresh Leaf </t>
  </si>
  <si>
    <t>Palanwatta</t>
  </si>
  <si>
    <t>No 153/D/2, Namal Mawatha,Palanwatta,Pannipitiya.</t>
  </si>
  <si>
    <t>kesbewa</t>
  </si>
  <si>
    <t>RT0391</t>
  </si>
  <si>
    <t>M.K.G. Tea Re Processing Centre</t>
  </si>
  <si>
    <t>Step 01,Nalanda Ellawala Industrial Zone,Paradise,Kuruwita.</t>
  </si>
  <si>
    <t>HT0046</t>
  </si>
  <si>
    <t>Sense Artisanal Tea Handmade</t>
  </si>
  <si>
    <t>Wegapitiya.</t>
  </si>
  <si>
    <t>No: 381/C,Company Waththa,Wegapitiya.</t>
  </si>
  <si>
    <t>HT0047</t>
  </si>
  <si>
    <t>Batagoda Estate Handmade</t>
  </si>
  <si>
    <t>Walagepiyadda</t>
  </si>
  <si>
    <t>Wilpita</t>
  </si>
  <si>
    <t>No: 8 H,Ashoka Mw,Madawalamulla,</t>
  </si>
  <si>
    <t>HT0048</t>
  </si>
  <si>
    <t>Ambulawa Hills Handmade</t>
  </si>
  <si>
    <t>Singhapitiya North</t>
  </si>
  <si>
    <t>Ambuluwawa</t>
  </si>
  <si>
    <t>Ambalawa Estate,3rd Mile Post, Hemmathagama Road,Kehelpannala.</t>
  </si>
  <si>
    <t>HT0049</t>
  </si>
  <si>
    <t xml:space="preserve">Athukorala Handmade </t>
  </si>
  <si>
    <t>Kaluarachchigoda</t>
  </si>
  <si>
    <t>Kurunduwatta, No : 01,Pitigala.</t>
  </si>
  <si>
    <t>HT0050</t>
  </si>
  <si>
    <t>Amawi Tea Handmade</t>
  </si>
  <si>
    <t>Sirisamanpura</t>
  </si>
  <si>
    <t>No : 12/43, 3rd Lane, Vidharshana Mw,Galawilawaththa,Homagama.</t>
  </si>
  <si>
    <t>HT0051</t>
  </si>
  <si>
    <t>Massi Handmade</t>
  </si>
  <si>
    <t>Zoisa Estate,Halawalkale Road,Lihiniyawa,Mathugama.</t>
  </si>
  <si>
    <t>HT0052</t>
  </si>
  <si>
    <t>Sara Handmade</t>
  </si>
  <si>
    <t>503 B, Gedareyawa</t>
  </si>
  <si>
    <t>Gedareyawa</t>
  </si>
  <si>
    <t>Sara Production,Gedareyawa,Rikillagaskada.</t>
  </si>
  <si>
    <t>NuwaraEliya</t>
  </si>
  <si>
    <t>HT0053</t>
  </si>
  <si>
    <t>Gale Tea Processing Center Handmade</t>
  </si>
  <si>
    <t>Pituwala North</t>
  </si>
  <si>
    <t>4th Mile Post,Millagaskanda,Pituwala,</t>
  </si>
  <si>
    <t>HT0054</t>
  </si>
  <si>
    <t>Rakwana Ceylon Tea Handmade</t>
  </si>
  <si>
    <t>Thambagamuwa West</t>
  </si>
  <si>
    <t>Thebukatiya</t>
  </si>
  <si>
    <t>Rajakalwatta,Pinnakanda,Godakawela.</t>
  </si>
  <si>
    <t>HT0035</t>
  </si>
  <si>
    <t>Sinhapitiya Estate Handmade Tea Factory</t>
  </si>
  <si>
    <t>Rathmalkaduwa</t>
  </si>
  <si>
    <t>Sinhapitiya Estate,Ambulawa Road,Gampola.</t>
  </si>
  <si>
    <t>HT0043</t>
  </si>
  <si>
    <t>Mabulla Handmade</t>
  </si>
  <si>
    <t>Meeriyagalla</t>
  </si>
  <si>
    <t>No : 829/1 D,Gamunu Mw,Athurugiriya Road,Homagama.</t>
  </si>
  <si>
    <t>HT0044</t>
  </si>
  <si>
    <t>Ganekumbura Handmade</t>
  </si>
  <si>
    <t>Imbulgoda</t>
  </si>
  <si>
    <t>No : 165/1/1,Yakabedda Road,Akuressa.</t>
  </si>
  <si>
    <t>HT0056</t>
  </si>
  <si>
    <t>Whyteleafe Handmade</t>
  </si>
  <si>
    <t>Yatipawwa</t>
  </si>
  <si>
    <t>No : 130 A,Madalawatte,Ellagawa.</t>
  </si>
  <si>
    <t>Kiriella</t>
  </si>
  <si>
    <t>HT0057</t>
  </si>
  <si>
    <t>Wariyatanna Tea Estate Handmade</t>
  </si>
  <si>
    <t>wariyatanna Estate,wariyagala,Peradeniya.</t>
  </si>
  <si>
    <t>HT0058</t>
  </si>
  <si>
    <t>Lenagala Nature Tea Handmade</t>
  </si>
  <si>
    <t>Lenagala</t>
  </si>
  <si>
    <t>No : G/56/2, Pahala Mainnoluwa,Lenagala, weeragala,Warakapola.</t>
  </si>
  <si>
    <t>Warakapola</t>
  </si>
  <si>
    <t>HT0059</t>
  </si>
  <si>
    <t>Jetwing Warwick Handmade</t>
  </si>
  <si>
    <t>Hewanakumbura</t>
  </si>
  <si>
    <t>Jetwing House,No : 46/26,Nawam Mawatha,Colombo 02.</t>
  </si>
  <si>
    <t>HT0060</t>
  </si>
  <si>
    <t>Elegance Velvet Handmade</t>
  </si>
  <si>
    <t>827 A, Girikola</t>
  </si>
  <si>
    <t>PanvilahenaBatewalakada,Agalawaththa.</t>
  </si>
  <si>
    <t>HT0061</t>
  </si>
  <si>
    <t>Rasenro Handmade</t>
  </si>
  <si>
    <t>Getiyamulla</t>
  </si>
  <si>
    <t>Minimaruwa,Alawathura,Bulathkohupitiya.</t>
  </si>
  <si>
    <t>HT0062</t>
  </si>
  <si>
    <t>Ceylon Thotupola Ella Handmade</t>
  </si>
  <si>
    <t>Vilanapallegama</t>
  </si>
  <si>
    <t>No : 100/B, Ellekade,Vilanagama.</t>
  </si>
  <si>
    <t>HT0063</t>
  </si>
  <si>
    <t>Forest Garden Handmade</t>
  </si>
  <si>
    <t>Pahala Millawa</t>
  </si>
  <si>
    <t>Pahala Wela,Pahala Millawa,Morawaka.</t>
  </si>
  <si>
    <t>HT0064</t>
  </si>
  <si>
    <t>N N Enterprise Handmade</t>
  </si>
  <si>
    <t>Aradhanakanda 432 E</t>
  </si>
  <si>
    <t>No : 51/35, 3rd Lane,Rathnapura Road,Awissawella.</t>
  </si>
  <si>
    <t>HT0065</t>
  </si>
  <si>
    <t>Yakgiri Handmade</t>
  </si>
  <si>
    <t>Walipanna Western 793</t>
  </si>
  <si>
    <t>No : 191,Uragoda Road,Welipenna.</t>
  </si>
  <si>
    <t>HT0066</t>
  </si>
  <si>
    <t>Brivain Tea Valley Handmade</t>
  </si>
  <si>
    <t>Polgampala East 844 C</t>
  </si>
  <si>
    <t>No : 221/2 A,Rathmale Road,Polgampola</t>
  </si>
  <si>
    <t>HT0067</t>
  </si>
  <si>
    <t>Silver Hill Handmade</t>
  </si>
  <si>
    <t>Katukurunda</t>
  </si>
  <si>
    <t>Manamullawatta,Katukurunda,Habaraduwa.</t>
  </si>
  <si>
    <t>HT0068</t>
  </si>
  <si>
    <t>Alasca Handmade</t>
  </si>
  <si>
    <t>Thalangalla East</t>
  </si>
  <si>
    <t>Agurumaspita Okanda DeniyaThalangalla,Hiniduma.</t>
  </si>
  <si>
    <t>HT0069</t>
  </si>
  <si>
    <t>Ceylon Grand Dish Handmade</t>
  </si>
  <si>
    <t>Kumbuka West</t>
  </si>
  <si>
    <t>No : 200/A, Kadhuruandha Road,Kumbuka West,Gonapola.</t>
  </si>
  <si>
    <t>HT0070</t>
  </si>
  <si>
    <t>Serene Tea Gardens Handmade</t>
  </si>
  <si>
    <t>Kiriporuwa</t>
  </si>
  <si>
    <t>No : 67,Gonamaldeniya,Kiriporuwa, Erepola,Ehaliyagoda.</t>
  </si>
  <si>
    <t>HT0071</t>
  </si>
  <si>
    <t>Evergreen Artisan Tea Handmade</t>
  </si>
  <si>
    <t>Rekadahena</t>
  </si>
  <si>
    <t>Rekadahena,Kahaduwa.</t>
  </si>
  <si>
    <t>HT0072</t>
  </si>
  <si>
    <t>Kalugala Tea Plantation Handmade</t>
  </si>
  <si>
    <t>187 B, Magedara South</t>
  </si>
  <si>
    <t xml:space="preserve">Magedara </t>
  </si>
  <si>
    <t>Neel de Alwis Mw,Magedara,Galle.</t>
  </si>
  <si>
    <t>HT0073</t>
  </si>
  <si>
    <t>Sirikandura Handmade</t>
  </si>
  <si>
    <t>795 C Badugama</t>
  </si>
  <si>
    <t>Aluthhena</t>
  </si>
  <si>
    <t>Unit 02,Aluthhena Road,Sirikandura Estate,Mathugama.</t>
  </si>
  <si>
    <t>HT0055</t>
  </si>
  <si>
    <t>Miniature Handmade</t>
  </si>
  <si>
    <t>Waduwalivitiya South</t>
  </si>
  <si>
    <t>No : 196 A,Waduwalivitiya,Alaoththanna Hena</t>
  </si>
  <si>
    <t>MF1606</t>
  </si>
  <si>
    <t>Maleesha</t>
  </si>
  <si>
    <t>826 Omaththa</t>
  </si>
  <si>
    <t>Omaththa,Agalawaththa.</t>
  </si>
  <si>
    <t>FacNo</t>
  </si>
  <si>
    <t>Factory Name</t>
  </si>
  <si>
    <t>Distrct</t>
  </si>
  <si>
    <t>DS</t>
  </si>
  <si>
    <t>GS</t>
  </si>
  <si>
    <t>Address</t>
  </si>
  <si>
    <t>URL</t>
  </si>
  <si>
    <t>Lant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</si>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</sst>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u/>
      <sz val="11"/>
      <color rgb="FF0000FF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56"/>
  <sheetViews>
    <sheetView tabSelected="1" topLeftCell="O1" workbookViewId="0">
      <selection activeCell="U1" sqref="U1:Z1048576"/>
    </sheetView>
  </sheetViews>
  <sheetFormatPr defaultColWidth="12.5703125" defaultRowHeight="15.75" customHeight="1" x14ac:dyDescent="0.2"/>
  <cols>
    <col min="2" max="2" width="31.7109375" customWidth="1"/>
    <col min="3" max="3" width="15.140625" bestFit="1" customWidth="1"/>
    <col min="6" max="6" width="24.42578125" customWidth="1"/>
    <col min="10" max="10" width="46" customWidth="1"/>
    <col min="13" max="13" width="39.5703125" customWidth="1"/>
    <col min="14" max="14" width="29.42578125" customWidth="1"/>
    <col min="15" max="15" width="30.7109375" customWidth="1"/>
    <col min="16" max="17" width="30.28515625" customWidth="1"/>
    <col min="18" max="18" width="37.28515625" customWidth="1"/>
    <col min="19" max="19" width="34.7109375" customWidth="1"/>
  </cols>
  <sheetData>
    <row r="1" spans="1:20" ht="15.7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0</v>
      </c>
      <c r="Q1" s="1" t="s">
        <v>1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1" t="s">
        <v>22</v>
      </c>
      <c r="B2" s="1" t="s">
        <v>23</v>
      </c>
      <c r="C2" s="2">
        <v>2021</v>
      </c>
      <c r="D2" s="1" t="s">
        <v>24</v>
      </c>
      <c r="E2" s="2">
        <v>0</v>
      </c>
      <c r="F2" s="1" t="s">
        <v>25</v>
      </c>
      <c r="G2" s="1" t="s">
        <v>26</v>
      </c>
      <c r="H2" s="2">
        <v>6700</v>
      </c>
      <c r="I2" s="2">
        <v>6500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20</v>
      </c>
      <c r="O2" s="1" t="s">
        <v>31</v>
      </c>
      <c r="P2" s="1" t="s">
        <v>20</v>
      </c>
      <c r="Q2" s="1" t="s">
        <v>21</v>
      </c>
      <c r="R2" s="1" t="s">
        <v>20</v>
      </c>
      <c r="S2" s="1" t="s">
        <v>32</v>
      </c>
      <c r="T2" s="3" t="str">
        <f>Sheet4!H2</f>
        <v xml:space="preserve"> View Map </v>
      </c>
    </row>
    <row r="3" spans="1:20" ht="15.75" customHeight="1" x14ac:dyDescent="0.25">
      <c r="A3" s="1" t="s">
        <v>34</v>
      </c>
      <c r="B3" s="1" t="s">
        <v>35</v>
      </c>
      <c r="C3" s="2">
        <v>1914</v>
      </c>
      <c r="D3" s="1" t="s">
        <v>24</v>
      </c>
      <c r="E3" s="2">
        <v>1</v>
      </c>
      <c r="F3" s="1" t="s">
        <v>36</v>
      </c>
      <c r="G3" s="1" t="s">
        <v>36</v>
      </c>
      <c r="H3" s="2">
        <v>4500</v>
      </c>
      <c r="I3" s="2">
        <v>90000</v>
      </c>
      <c r="J3" s="1" t="s">
        <v>37</v>
      </c>
      <c r="K3" s="2">
        <v>55000</v>
      </c>
      <c r="L3" s="1" t="s">
        <v>29</v>
      </c>
      <c r="M3" s="1" t="s">
        <v>30</v>
      </c>
      <c r="N3" s="1" t="s">
        <v>20</v>
      </c>
      <c r="O3" s="1" t="s">
        <v>31</v>
      </c>
      <c r="P3" s="1" t="s">
        <v>20</v>
      </c>
      <c r="Q3" s="1" t="s">
        <v>33</v>
      </c>
      <c r="R3" s="1" t="s">
        <v>38</v>
      </c>
      <c r="S3" s="1" t="s">
        <v>32</v>
      </c>
      <c r="T3" s="3" t="str">
        <f>Sheet4!H3</f>
        <v xml:space="preserve"> View Map </v>
      </c>
    </row>
    <row r="4" spans="1:20" ht="15.75" customHeight="1" x14ac:dyDescent="0.25">
      <c r="A4" s="1" t="s">
        <v>39</v>
      </c>
      <c r="B4" s="1" t="s">
        <v>40</v>
      </c>
      <c r="C4" s="2">
        <v>1925</v>
      </c>
      <c r="D4" s="1" t="s">
        <v>24</v>
      </c>
      <c r="E4" s="2">
        <v>1</v>
      </c>
      <c r="F4" s="1" t="s">
        <v>41</v>
      </c>
      <c r="G4" s="1" t="s">
        <v>41</v>
      </c>
      <c r="H4" s="2">
        <v>4670</v>
      </c>
      <c r="I4" s="2">
        <v>64000</v>
      </c>
      <c r="J4" s="1" t="s">
        <v>42</v>
      </c>
      <c r="K4" s="2">
        <v>64000</v>
      </c>
      <c r="L4" s="1" t="s">
        <v>29</v>
      </c>
      <c r="M4" s="1" t="s">
        <v>30</v>
      </c>
      <c r="N4" s="1" t="s">
        <v>20</v>
      </c>
      <c r="O4" s="1" t="s">
        <v>43</v>
      </c>
      <c r="P4" s="1" t="s">
        <v>20</v>
      </c>
      <c r="Q4" s="1" t="s">
        <v>21</v>
      </c>
      <c r="R4" s="1" t="s">
        <v>44</v>
      </c>
      <c r="S4" s="1" t="s">
        <v>32</v>
      </c>
      <c r="T4" s="3" t="str">
        <f>Sheet4!H4</f>
        <v xml:space="preserve"> View Map </v>
      </c>
    </row>
    <row r="5" spans="1:20" ht="15.75" customHeight="1" x14ac:dyDescent="0.25">
      <c r="A5" s="1" t="s">
        <v>47</v>
      </c>
      <c r="B5" s="1" t="s">
        <v>48</v>
      </c>
      <c r="C5" s="2">
        <v>2020</v>
      </c>
      <c r="D5" s="1" t="s">
        <v>24</v>
      </c>
      <c r="E5" s="2">
        <v>1</v>
      </c>
      <c r="F5" s="1" t="s">
        <v>49</v>
      </c>
      <c r="G5" s="1"/>
      <c r="H5" s="2">
        <v>0</v>
      </c>
      <c r="I5" s="2">
        <v>30000</v>
      </c>
      <c r="J5" s="1" t="s">
        <v>50</v>
      </c>
      <c r="K5" s="2">
        <v>30000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45</v>
      </c>
      <c r="Q5" s="1" t="s">
        <v>46</v>
      </c>
      <c r="R5" s="1" t="s">
        <v>55</v>
      </c>
      <c r="S5" s="1" t="s">
        <v>56</v>
      </c>
      <c r="T5" s="3" t="str">
        <f>Sheet4!H5</f>
        <v xml:space="preserve"> View Map </v>
      </c>
    </row>
    <row r="6" spans="1:20" ht="15.75" customHeight="1" x14ac:dyDescent="0.25">
      <c r="A6" s="1" t="s">
        <v>57</v>
      </c>
      <c r="B6" s="1" t="s">
        <v>58</v>
      </c>
      <c r="C6" s="2">
        <v>2014</v>
      </c>
      <c r="D6" s="1" t="s">
        <v>24</v>
      </c>
      <c r="E6" s="2">
        <v>1</v>
      </c>
      <c r="F6" s="1" t="s">
        <v>59</v>
      </c>
      <c r="G6" s="1" t="s">
        <v>60</v>
      </c>
      <c r="H6" s="2">
        <v>1068</v>
      </c>
      <c r="I6" s="2">
        <v>42000</v>
      </c>
      <c r="J6" s="1" t="s">
        <v>61</v>
      </c>
      <c r="K6" s="2">
        <v>42000</v>
      </c>
      <c r="L6" s="1" t="s">
        <v>51</v>
      </c>
      <c r="M6" s="1" t="s">
        <v>52</v>
      </c>
      <c r="N6" s="1" t="s">
        <v>53</v>
      </c>
      <c r="O6" s="1" t="s">
        <v>62</v>
      </c>
      <c r="P6" s="1" t="s">
        <v>45</v>
      </c>
      <c r="Q6" s="1" t="s">
        <v>46</v>
      </c>
      <c r="R6" s="1" t="s">
        <v>55</v>
      </c>
      <c r="S6" s="1" t="s">
        <v>32</v>
      </c>
      <c r="T6" s="3" t="str">
        <f>Sheet4!H6</f>
        <v xml:space="preserve"> View Map </v>
      </c>
    </row>
    <row r="7" spans="1:20" ht="15.75" customHeight="1" x14ac:dyDescent="0.25">
      <c r="A7" s="1" t="s">
        <v>63</v>
      </c>
      <c r="B7" s="1" t="s">
        <v>64</v>
      </c>
      <c r="C7" s="2">
        <v>2020</v>
      </c>
      <c r="D7" s="1" t="s">
        <v>24</v>
      </c>
      <c r="E7" s="2">
        <v>1</v>
      </c>
      <c r="F7" s="1" t="s">
        <v>65</v>
      </c>
      <c r="G7" s="1" t="s">
        <v>66</v>
      </c>
      <c r="H7" s="2">
        <v>610</v>
      </c>
      <c r="I7" s="2">
        <v>35000</v>
      </c>
      <c r="J7" s="1" t="s">
        <v>67</v>
      </c>
      <c r="K7" s="2">
        <v>35000</v>
      </c>
      <c r="L7" s="1" t="s">
        <v>68</v>
      </c>
      <c r="M7" s="1" t="s">
        <v>69</v>
      </c>
      <c r="N7" s="1" t="s">
        <v>20</v>
      </c>
      <c r="O7" s="1" t="s">
        <v>70</v>
      </c>
      <c r="P7" s="1" t="s">
        <v>45</v>
      </c>
      <c r="Q7" s="1" t="s">
        <v>46</v>
      </c>
      <c r="R7" s="1" t="s">
        <v>55</v>
      </c>
      <c r="S7" s="1" t="s">
        <v>71</v>
      </c>
      <c r="T7" s="3" t="str">
        <f>Sheet4!H7</f>
        <v xml:space="preserve"> View Map </v>
      </c>
    </row>
    <row r="8" spans="1:20" ht="15.75" customHeight="1" x14ac:dyDescent="0.25">
      <c r="A8" s="1" t="s">
        <v>74</v>
      </c>
      <c r="B8" s="1" t="s">
        <v>75</v>
      </c>
      <c r="C8" s="2">
        <v>2005</v>
      </c>
      <c r="D8" s="1" t="s">
        <v>24</v>
      </c>
      <c r="E8" s="2">
        <v>1</v>
      </c>
      <c r="F8" s="1" t="s">
        <v>76</v>
      </c>
      <c r="G8" s="1"/>
      <c r="H8" s="2">
        <v>0</v>
      </c>
      <c r="I8" s="2">
        <v>58000</v>
      </c>
      <c r="J8" s="1" t="s">
        <v>77</v>
      </c>
      <c r="K8" s="2">
        <v>58000</v>
      </c>
      <c r="L8" s="1" t="s">
        <v>68</v>
      </c>
      <c r="M8" s="1" t="s">
        <v>69</v>
      </c>
      <c r="N8" s="1" t="s">
        <v>72</v>
      </c>
      <c r="O8" s="1" t="s">
        <v>78</v>
      </c>
      <c r="P8" s="1" t="s">
        <v>72</v>
      </c>
      <c r="Q8" s="1" t="s">
        <v>73</v>
      </c>
      <c r="R8" s="1" t="s">
        <v>73</v>
      </c>
      <c r="S8" s="1" t="s">
        <v>32</v>
      </c>
      <c r="T8" s="3" t="str">
        <f>Sheet4!H8</f>
        <v xml:space="preserve"> View Map </v>
      </c>
    </row>
    <row r="9" spans="1:20" ht="15.75" customHeight="1" x14ac:dyDescent="0.25">
      <c r="A9" s="1" t="s">
        <v>79</v>
      </c>
      <c r="B9" s="1" t="s">
        <v>80</v>
      </c>
      <c r="C9" s="2">
        <v>2005</v>
      </c>
      <c r="D9" s="1" t="s">
        <v>81</v>
      </c>
      <c r="E9" s="2">
        <v>0</v>
      </c>
      <c r="F9" s="1" t="s">
        <v>28</v>
      </c>
      <c r="G9" s="1" t="s">
        <v>82</v>
      </c>
      <c r="H9" s="2">
        <v>3000</v>
      </c>
      <c r="I9" s="2">
        <v>0</v>
      </c>
      <c r="J9" s="1" t="s">
        <v>83</v>
      </c>
      <c r="K9" s="1" t="s">
        <v>28</v>
      </c>
      <c r="L9" s="1" t="s">
        <v>51</v>
      </c>
      <c r="M9" s="1" t="s">
        <v>28</v>
      </c>
      <c r="N9" s="1" t="s">
        <v>53</v>
      </c>
      <c r="O9" s="1" t="s">
        <v>84</v>
      </c>
      <c r="P9" s="1" t="s">
        <v>45</v>
      </c>
      <c r="Q9" s="1" t="s">
        <v>45</v>
      </c>
      <c r="R9" s="1" t="s">
        <v>85</v>
      </c>
      <c r="S9" s="1" t="s">
        <v>32</v>
      </c>
      <c r="T9" s="3" t="str">
        <f>Sheet4!H9</f>
        <v xml:space="preserve"> View Map </v>
      </c>
    </row>
    <row r="10" spans="1:20" ht="15.75" customHeight="1" x14ac:dyDescent="0.25">
      <c r="A10" s="1" t="s">
        <v>86</v>
      </c>
      <c r="B10" s="1" t="s">
        <v>87</v>
      </c>
      <c r="C10" s="2">
        <v>1936</v>
      </c>
      <c r="D10" s="1" t="s">
        <v>24</v>
      </c>
      <c r="E10" s="2">
        <v>1</v>
      </c>
      <c r="F10" s="1" t="s">
        <v>88</v>
      </c>
      <c r="G10" s="1"/>
      <c r="H10" s="2">
        <v>0</v>
      </c>
      <c r="I10" s="2">
        <v>125000</v>
      </c>
      <c r="J10" s="1" t="s">
        <v>89</v>
      </c>
      <c r="K10" s="2">
        <v>73000</v>
      </c>
      <c r="L10" s="1" t="s">
        <v>29</v>
      </c>
      <c r="M10" s="1" t="s">
        <v>30</v>
      </c>
      <c r="N10" s="1" t="s">
        <v>20</v>
      </c>
      <c r="O10" s="1" t="s">
        <v>31</v>
      </c>
      <c r="P10" s="1" t="s">
        <v>20</v>
      </c>
      <c r="Q10" s="1" t="s">
        <v>33</v>
      </c>
      <c r="R10" s="1" t="s">
        <v>90</v>
      </c>
      <c r="S10" s="1" t="s">
        <v>32</v>
      </c>
      <c r="T10" s="3" t="str">
        <f>Sheet4!H10</f>
        <v xml:space="preserve"> View Map </v>
      </c>
    </row>
    <row r="11" spans="1:20" ht="15.75" customHeight="1" x14ac:dyDescent="0.25">
      <c r="A11" s="1" t="s">
        <v>91</v>
      </c>
      <c r="B11" s="1" t="s">
        <v>92</v>
      </c>
      <c r="C11" s="2">
        <v>1927</v>
      </c>
      <c r="D11" s="1" t="s">
        <v>24</v>
      </c>
      <c r="E11" s="2">
        <v>1</v>
      </c>
      <c r="F11" s="1" t="s">
        <v>93</v>
      </c>
      <c r="G11" s="1"/>
      <c r="H11" s="2">
        <v>5500</v>
      </c>
      <c r="I11" s="2">
        <v>85000</v>
      </c>
      <c r="J11" s="1" t="s">
        <v>94</v>
      </c>
      <c r="K11" s="2">
        <v>38000</v>
      </c>
      <c r="L11" s="1" t="s">
        <v>29</v>
      </c>
      <c r="M11" s="1" t="s">
        <v>30</v>
      </c>
      <c r="N11" s="1" t="s">
        <v>20</v>
      </c>
      <c r="O11" s="1" t="s">
        <v>31</v>
      </c>
      <c r="P11" s="1" t="s">
        <v>20</v>
      </c>
      <c r="Q11" s="1" t="s">
        <v>33</v>
      </c>
      <c r="R11" s="1" t="s">
        <v>90</v>
      </c>
      <c r="S11" s="1" t="s">
        <v>32</v>
      </c>
      <c r="T11" s="3" t="str">
        <f>Sheet4!H11</f>
        <v xml:space="preserve"> View Map </v>
      </c>
    </row>
    <row r="12" spans="1:20" ht="15.75" customHeight="1" x14ac:dyDescent="0.25">
      <c r="A12" s="1" t="s">
        <v>95</v>
      </c>
      <c r="B12" s="1" t="s">
        <v>96</v>
      </c>
      <c r="C12" s="2">
        <v>1926</v>
      </c>
      <c r="D12" s="1" t="s">
        <v>24</v>
      </c>
      <c r="E12" s="2">
        <v>1</v>
      </c>
      <c r="F12" s="1" t="s">
        <v>97</v>
      </c>
      <c r="G12" s="1" t="s">
        <v>98</v>
      </c>
      <c r="H12" s="2">
        <v>884</v>
      </c>
      <c r="I12" s="2">
        <v>70000</v>
      </c>
      <c r="J12" s="1" t="s">
        <v>99</v>
      </c>
      <c r="K12" s="2">
        <v>70000</v>
      </c>
      <c r="L12" s="1" t="s">
        <v>51</v>
      </c>
      <c r="M12" s="1" t="s">
        <v>52</v>
      </c>
      <c r="N12" s="1" t="s">
        <v>53</v>
      </c>
      <c r="O12" s="1" t="s">
        <v>84</v>
      </c>
      <c r="P12" s="1" t="s">
        <v>45</v>
      </c>
      <c r="Q12" s="1" t="s">
        <v>45</v>
      </c>
      <c r="R12" s="1" t="s">
        <v>55</v>
      </c>
      <c r="S12" s="1" t="s">
        <v>32</v>
      </c>
      <c r="T12" s="3" t="str">
        <f>Sheet4!H12</f>
        <v xml:space="preserve"> View Map </v>
      </c>
    </row>
    <row r="13" spans="1:20" ht="15.75" customHeight="1" x14ac:dyDescent="0.25">
      <c r="A13" s="1" t="s">
        <v>100</v>
      </c>
      <c r="B13" s="1" t="s">
        <v>101</v>
      </c>
      <c r="C13" s="2">
        <v>1984</v>
      </c>
      <c r="D13" s="1" t="s">
        <v>24</v>
      </c>
      <c r="E13" s="2">
        <v>0</v>
      </c>
      <c r="F13" s="1" t="s">
        <v>102</v>
      </c>
      <c r="G13" s="1" t="s">
        <v>103</v>
      </c>
      <c r="H13" s="2">
        <v>1600</v>
      </c>
      <c r="I13" s="2">
        <v>23920</v>
      </c>
      <c r="J13" s="1" t="s">
        <v>104</v>
      </c>
      <c r="K13" s="1" t="s">
        <v>28</v>
      </c>
      <c r="L13" s="1" t="s">
        <v>51</v>
      </c>
      <c r="M13" s="1" t="s">
        <v>52</v>
      </c>
      <c r="N13" s="1" t="s">
        <v>53</v>
      </c>
      <c r="O13" s="1" t="s">
        <v>84</v>
      </c>
      <c r="P13" s="1" t="s">
        <v>45</v>
      </c>
      <c r="Q13" s="1" t="s">
        <v>53</v>
      </c>
      <c r="R13" s="1" t="s">
        <v>105</v>
      </c>
      <c r="S13" s="1" t="s">
        <v>71</v>
      </c>
      <c r="T13" s="3" t="str">
        <f>Sheet4!H13</f>
        <v xml:space="preserve"> View Map </v>
      </c>
    </row>
    <row r="14" spans="1:20" ht="15.75" customHeight="1" x14ac:dyDescent="0.25">
      <c r="A14" s="1" t="s">
        <v>106</v>
      </c>
      <c r="B14" s="1" t="s">
        <v>107</v>
      </c>
      <c r="C14" s="2">
        <v>2005</v>
      </c>
      <c r="D14" s="1" t="s">
        <v>24</v>
      </c>
      <c r="E14" s="2">
        <v>0</v>
      </c>
      <c r="F14" s="1"/>
      <c r="G14" s="1" t="s">
        <v>108</v>
      </c>
      <c r="H14" s="2">
        <v>3500</v>
      </c>
      <c r="I14" s="2">
        <v>0</v>
      </c>
      <c r="J14" s="1" t="s">
        <v>109</v>
      </c>
      <c r="K14" s="1" t="s">
        <v>28</v>
      </c>
      <c r="L14" s="1" t="s">
        <v>51</v>
      </c>
      <c r="M14" s="1" t="s">
        <v>52</v>
      </c>
      <c r="N14" s="1" t="s">
        <v>53</v>
      </c>
      <c r="O14" s="1" t="s">
        <v>110</v>
      </c>
      <c r="P14" s="1" t="s">
        <v>45</v>
      </c>
      <c r="Q14" s="1" t="s">
        <v>53</v>
      </c>
      <c r="R14" s="1" t="s">
        <v>85</v>
      </c>
      <c r="S14" s="1" t="s">
        <v>71</v>
      </c>
      <c r="T14" s="3" t="str">
        <f>Sheet4!H14</f>
        <v xml:space="preserve"> View Map </v>
      </c>
    </row>
    <row r="15" spans="1:20" ht="15.75" customHeight="1" x14ac:dyDescent="0.25">
      <c r="A15" s="1" t="s">
        <v>111</v>
      </c>
      <c r="B15" s="1" t="s">
        <v>112</v>
      </c>
      <c r="C15" s="2">
        <v>2005</v>
      </c>
      <c r="D15" s="1" t="s">
        <v>24</v>
      </c>
      <c r="E15" s="2">
        <v>1</v>
      </c>
      <c r="F15" s="1" t="s">
        <v>76</v>
      </c>
      <c r="G15" s="1" t="s">
        <v>113</v>
      </c>
      <c r="H15" s="2">
        <v>660</v>
      </c>
      <c r="I15" s="2">
        <v>30000</v>
      </c>
      <c r="J15" s="1" t="s">
        <v>114</v>
      </c>
      <c r="K15" s="2">
        <v>30000</v>
      </c>
      <c r="L15" s="1" t="s">
        <v>68</v>
      </c>
      <c r="M15" s="1" t="s">
        <v>69</v>
      </c>
      <c r="N15" s="1" t="s">
        <v>72</v>
      </c>
      <c r="O15" s="1" t="s">
        <v>115</v>
      </c>
      <c r="P15" s="1" t="s">
        <v>72</v>
      </c>
      <c r="Q15" s="1" t="s">
        <v>73</v>
      </c>
      <c r="R15" s="1" t="s">
        <v>73</v>
      </c>
      <c r="S15" s="1" t="s">
        <v>32</v>
      </c>
      <c r="T15" s="3" t="str">
        <f>Sheet4!H15</f>
        <v xml:space="preserve"> View Map </v>
      </c>
    </row>
    <row r="16" spans="1:20" ht="15.75" customHeight="1" x14ac:dyDescent="0.25">
      <c r="A16" s="1" t="s">
        <v>116</v>
      </c>
      <c r="B16" s="1" t="s">
        <v>117</v>
      </c>
      <c r="C16" s="2">
        <v>0</v>
      </c>
      <c r="D16" s="1" t="s">
        <v>81</v>
      </c>
      <c r="E16" s="2">
        <v>0</v>
      </c>
      <c r="F16" s="1" t="s">
        <v>118</v>
      </c>
      <c r="G16" s="1" t="s">
        <v>119</v>
      </c>
      <c r="H16" s="2">
        <v>1992</v>
      </c>
      <c r="I16" s="2">
        <v>17748</v>
      </c>
      <c r="J16" s="1" t="s">
        <v>120</v>
      </c>
      <c r="K16" s="1" t="s">
        <v>28</v>
      </c>
      <c r="L16" s="1" t="s">
        <v>51</v>
      </c>
      <c r="M16" s="1" t="s">
        <v>52</v>
      </c>
      <c r="N16" s="1" t="s">
        <v>53</v>
      </c>
      <c r="O16" s="1" t="s">
        <v>121</v>
      </c>
      <c r="P16" s="1" t="s">
        <v>45</v>
      </c>
      <c r="Q16" s="1" t="s">
        <v>53</v>
      </c>
      <c r="R16" s="1" t="s">
        <v>105</v>
      </c>
      <c r="S16" s="1" t="s">
        <v>71</v>
      </c>
      <c r="T16" s="3" t="str">
        <f>Sheet4!H16</f>
        <v xml:space="preserve"> View Map </v>
      </c>
    </row>
    <row r="17" spans="1:20" ht="15.75" customHeight="1" x14ac:dyDescent="0.25">
      <c r="A17" s="1" t="s">
        <v>123</v>
      </c>
      <c r="B17" s="1" t="s">
        <v>124</v>
      </c>
      <c r="C17" s="2">
        <v>2024</v>
      </c>
      <c r="D17" s="1" t="s">
        <v>24</v>
      </c>
      <c r="E17" s="2">
        <v>0</v>
      </c>
      <c r="F17" s="1" t="s">
        <v>124</v>
      </c>
      <c r="G17" s="1" t="s">
        <v>125</v>
      </c>
      <c r="H17" s="2">
        <v>762</v>
      </c>
      <c r="I17" s="2">
        <v>95000</v>
      </c>
      <c r="J17" s="1" t="s">
        <v>126</v>
      </c>
      <c r="K17" s="2">
        <v>95000</v>
      </c>
      <c r="L17" s="1" t="s">
        <v>51</v>
      </c>
      <c r="M17" s="1" t="s">
        <v>52</v>
      </c>
      <c r="N17" s="1" t="s">
        <v>53</v>
      </c>
      <c r="O17" s="1" t="s">
        <v>127</v>
      </c>
      <c r="P17" s="1" t="s">
        <v>45</v>
      </c>
      <c r="Q17" s="1" t="s">
        <v>122</v>
      </c>
      <c r="R17" s="1" t="s">
        <v>128</v>
      </c>
      <c r="S17" s="1" t="s">
        <v>71</v>
      </c>
      <c r="T17" s="3" t="str">
        <f>Sheet4!H17</f>
        <v xml:space="preserve"> View Map </v>
      </c>
    </row>
    <row r="18" spans="1:20" ht="15.75" customHeight="1" x14ac:dyDescent="0.25">
      <c r="A18" s="1" t="s">
        <v>130</v>
      </c>
      <c r="B18" s="1" t="s">
        <v>131</v>
      </c>
      <c r="C18" s="2">
        <v>0</v>
      </c>
      <c r="D18" s="1" t="s">
        <v>24</v>
      </c>
      <c r="E18" s="2">
        <v>1</v>
      </c>
      <c r="F18" s="1" t="s">
        <v>132</v>
      </c>
      <c r="G18" s="1" t="s">
        <v>133</v>
      </c>
      <c r="H18" s="2">
        <v>4600</v>
      </c>
      <c r="I18" s="2">
        <v>50000</v>
      </c>
      <c r="J18" s="1" t="s">
        <v>133</v>
      </c>
      <c r="K18" s="2">
        <v>31000</v>
      </c>
      <c r="L18" s="1" t="s">
        <v>29</v>
      </c>
      <c r="M18" s="1" t="s">
        <v>134</v>
      </c>
      <c r="N18" s="1" t="s">
        <v>20</v>
      </c>
      <c r="O18" s="1" t="s">
        <v>135</v>
      </c>
      <c r="P18" s="1" t="s">
        <v>20</v>
      </c>
      <c r="Q18" s="1" t="s">
        <v>129</v>
      </c>
      <c r="R18" s="1" t="s">
        <v>136</v>
      </c>
      <c r="S18" s="1" t="s">
        <v>32</v>
      </c>
      <c r="T18" s="3" t="str">
        <f>Sheet4!H18</f>
        <v xml:space="preserve"> View Map </v>
      </c>
    </row>
    <row r="19" spans="1:20" ht="15.75" customHeight="1" x14ac:dyDescent="0.25">
      <c r="A19" s="1" t="s">
        <v>137</v>
      </c>
      <c r="B19" s="1" t="s">
        <v>138</v>
      </c>
      <c r="C19" s="2">
        <v>2024</v>
      </c>
      <c r="D19" s="1" t="s">
        <v>24</v>
      </c>
      <c r="E19" s="2">
        <v>1</v>
      </c>
      <c r="F19" s="1" t="s">
        <v>139</v>
      </c>
      <c r="G19" s="1"/>
      <c r="H19" s="2">
        <v>5500</v>
      </c>
      <c r="I19" s="2">
        <v>15000</v>
      </c>
      <c r="J19" s="1" t="s">
        <v>140</v>
      </c>
      <c r="K19" s="2">
        <v>15000</v>
      </c>
      <c r="L19" s="1" t="s">
        <v>29</v>
      </c>
      <c r="M19" s="1" t="s">
        <v>30</v>
      </c>
      <c r="N19" s="1" t="s">
        <v>20</v>
      </c>
      <c r="O19" s="1" t="s">
        <v>31</v>
      </c>
      <c r="P19" s="1" t="s">
        <v>20</v>
      </c>
      <c r="Q19" s="1" t="s">
        <v>33</v>
      </c>
      <c r="R19" s="1" t="s">
        <v>90</v>
      </c>
      <c r="S19" s="1" t="s">
        <v>71</v>
      </c>
      <c r="T19" s="3" t="str">
        <f>Sheet4!H19</f>
        <v xml:space="preserve"> View Map </v>
      </c>
    </row>
    <row r="20" spans="1:20" ht="15.75" customHeight="1" x14ac:dyDescent="0.25">
      <c r="A20" s="1" t="s">
        <v>141</v>
      </c>
      <c r="B20" s="1" t="s">
        <v>142</v>
      </c>
      <c r="C20" s="2">
        <v>2016</v>
      </c>
      <c r="D20" s="1" t="s">
        <v>24</v>
      </c>
      <c r="E20" s="2">
        <v>1</v>
      </c>
      <c r="F20" s="1" t="s">
        <v>143</v>
      </c>
      <c r="G20" s="1" t="s">
        <v>143</v>
      </c>
      <c r="H20" s="2">
        <v>600</v>
      </c>
      <c r="I20" s="2">
        <v>40000</v>
      </c>
      <c r="J20" s="1" t="s">
        <v>144</v>
      </c>
      <c r="K20" s="2">
        <v>40000</v>
      </c>
      <c r="L20" s="1" t="s">
        <v>51</v>
      </c>
      <c r="M20" s="1" t="s">
        <v>52</v>
      </c>
      <c r="N20" s="1" t="s">
        <v>53</v>
      </c>
      <c r="O20" s="1" t="s">
        <v>145</v>
      </c>
      <c r="P20" s="1" t="s">
        <v>45</v>
      </c>
      <c r="Q20" s="1" t="s">
        <v>53</v>
      </c>
      <c r="R20" s="1" t="s">
        <v>128</v>
      </c>
      <c r="S20" s="1" t="s">
        <v>71</v>
      </c>
      <c r="T20" s="3" t="str">
        <f>Sheet4!H20</f>
        <v xml:space="preserve"> View Map </v>
      </c>
    </row>
    <row r="21" spans="1:20" ht="15.75" customHeight="1" x14ac:dyDescent="0.25">
      <c r="A21" s="1" t="s">
        <v>147</v>
      </c>
      <c r="B21" s="1" t="s">
        <v>148</v>
      </c>
      <c r="C21" s="2">
        <v>2014</v>
      </c>
      <c r="D21" s="1" t="s">
        <v>24</v>
      </c>
      <c r="E21" s="2">
        <v>0</v>
      </c>
      <c r="F21" s="1" t="s">
        <v>149</v>
      </c>
      <c r="G21" s="1" t="s">
        <v>150</v>
      </c>
      <c r="H21" s="2">
        <v>1950</v>
      </c>
      <c r="I21" s="2">
        <v>50000</v>
      </c>
      <c r="J21" s="1" t="s">
        <v>151</v>
      </c>
      <c r="K21" s="1" t="s">
        <v>28</v>
      </c>
      <c r="L21" s="1" t="s">
        <v>51</v>
      </c>
      <c r="M21" s="1" t="s">
        <v>52</v>
      </c>
      <c r="N21" s="1" t="s">
        <v>146</v>
      </c>
      <c r="O21" s="1" t="s">
        <v>152</v>
      </c>
      <c r="P21" s="1" t="s">
        <v>45</v>
      </c>
      <c r="Q21" s="1" t="s">
        <v>146</v>
      </c>
      <c r="R21" s="1" t="s">
        <v>105</v>
      </c>
      <c r="S21" s="1" t="s">
        <v>71</v>
      </c>
      <c r="T21" s="3" t="str">
        <f>Sheet4!H21</f>
        <v xml:space="preserve"> View Map </v>
      </c>
    </row>
    <row r="22" spans="1:20" ht="15.75" customHeight="1" x14ac:dyDescent="0.25">
      <c r="A22" s="1" t="s">
        <v>155</v>
      </c>
      <c r="B22" s="1" t="s">
        <v>156</v>
      </c>
      <c r="C22" s="2">
        <v>2021</v>
      </c>
      <c r="D22" s="1" t="s">
        <v>24</v>
      </c>
      <c r="E22" s="2">
        <v>0</v>
      </c>
      <c r="F22" s="1"/>
      <c r="G22" s="1" t="s">
        <v>157</v>
      </c>
      <c r="H22" s="2">
        <v>3500</v>
      </c>
      <c r="I22" s="2">
        <v>0</v>
      </c>
      <c r="J22" s="1" t="s">
        <v>158</v>
      </c>
      <c r="K22" s="1" t="s">
        <v>28</v>
      </c>
      <c r="L22" s="1" t="s">
        <v>51</v>
      </c>
      <c r="M22" s="1" t="s">
        <v>159</v>
      </c>
      <c r="N22" s="1" t="s">
        <v>160</v>
      </c>
      <c r="O22" s="1" t="s">
        <v>161</v>
      </c>
      <c r="P22" s="1" t="s">
        <v>153</v>
      </c>
      <c r="Q22" s="1" t="s">
        <v>154</v>
      </c>
      <c r="R22" s="1" t="s">
        <v>136</v>
      </c>
      <c r="S22" s="1" t="s">
        <v>32</v>
      </c>
      <c r="T22" s="3" t="str">
        <f>Sheet4!H22</f>
        <v xml:space="preserve"> View Map </v>
      </c>
    </row>
    <row r="23" spans="1:20" ht="15.75" customHeight="1" x14ac:dyDescent="0.25">
      <c r="A23" s="1" t="s">
        <v>163</v>
      </c>
      <c r="B23" s="1" t="s">
        <v>164</v>
      </c>
      <c r="C23" s="2">
        <v>0</v>
      </c>
      <c r="D23" s="1" t="s">
        <v>24</v>
      </c>
      <c r="E23" s="2">
        <v>1</v>
      </c>
      <c r="F23" s="1" t="s">
        <v>165</v>
      </c>
      <c r="G23" s="1"/>
      <c r="H23" s="2">
        <v>500</v>
      </c>
      <c r="I23" s="2">
        <v>11500</v>
      </c>
      <c r="J23" s="1" t="s">
        <v>166</v>
      </c>
      <c r="K23" s="2">
        <v>11500</v>
      </c>
      <c r="L23" s="1" t="s">
        <v>68</v>
      </c>
      <c r="M23" s="1" t="s">
        <v>69</v>
      </c>
      <c r="N23" s="1" t="s">
        <v>162</v>
      </c>
      <c r="O23" s="1" t="s">
        <v>167</v>
      </c>
      <c r="P23" s="1" t="s">
        <v>162</v>
      </c>
      <c r="Q23" s="1" t="s">
        <v>162</v>
      </c>
      <c r="R23" s="1" t="s">
        <v>162</v>
      </c>
      <c r="S23" s="1" t="s">
        <v>32</v>
      </c>
      <c r="T23" s="3" t="str">
        <f>Sheet4!H23</f>
        <v xml:space="preserve"> View Map </v>
      </c>
    </row>
    <row r="24" spans="1:20" ht="15.75" customHeight="1" x14ac:dyDescent="0.25">
      <c r="A24" s="1" t="s">
        <v>169</v>
      </c>
      <c r="B24" s="1" t="s">
        <v>170</v>
      </c>
      <c r="C24" s="2">
        <v>2021</v>
      </c>
      <c r="D24" s="1" t="s">
        <v>24</v>
      </c>
      <c r="E24" s="2">
        <v>0</v>
      </c>
      <c r="F24" s="1"/>
      <c r="G24" s="1" t="s">
        <v>171</v>
      </c>
      <c r="H24" s="2">
        <v>1200</v>
      </c>
      <c r="I24" s="2">
        <v>90000</v>
      </c>
      <c r="J24" s="1" t="s">
        <v>172</v>
      </c>
      <c r="K24" s="1" t="s">
        <v>28</v>
      </c>
      <c r="L24" s="1" t="s">
        <v>29</v>
      </c>
      <c r="M24" s="1" t="s">
        <v>30</v>
      </c>
      <c r="N24" s="1" t="s">
        <v>20</v>
      </c>
      <c r="O24" s="1" t="s">
        <v>173</v>
      </c>
      <c r="P24" s="1" t="s">
        <v>20</v>
      </c>
      <c r="Q24" s="1" t="s">
        <v>168</v>
      </c>
      <c r="R24" s="1" t="s">
        <v>174</v>
      </c>
      <c r="S24" s="1" t="s">
        <v>32</v>
      </c>
      <c r="T24" s="3" t="str">
        <f>Sheet4!H24</f>
        <v xml:space="preserve"> View Map </v>
      </c>
    </row>
    <row r="25" spans="1:20" ht="15.75" customHeight="1" x14ac:dyDescent="0.25">
      <c r="A25" s="1" t="s">
        <v>175</v>
      </c>
      <c r="B25" s="1" t="s">
        <v>176</v>
      </c>
      <c r="C25" s="2">
        <v>0</v>
      </c>
      <c r="D25" s="1" t="s">
        <v>24</v>
      </c>
      <c r="E25" s="2">
        <v>1</v>
      </c>
      <c r="F25" s="1" t="s">
        <v>177</v>
      </c>
      <c r="G25" s="1"/>
      <c r="H25" s="2">
        <v>1379</v>
      </c>
      <c r="I25" s="2">
        <v>30000</v>
      </c>
      <c r="J25" s="1" t="s">
        <v>178</v>
      </c>
      <c r="K25" s="2">
        <v>30000</v>
      </c>
      <c r="L25" s="1" t="s">
        <v>29</v>
      </c>
      <c r="M25" s="1" t="s">
        <v>30</v>
      </c>
      <c r="N25" s="1" t="s">
        <v>20</v>
      </c>
      <c r="O25" s="1" t="s">
        <v>31</v>
      </c>
      <c r="P25" s="1" t="s">
        <v>20</v>
      </c>
      <c r="Q25" s="1" t="s">
        <v>33</v>
      </c>
      <c r="R25" s="1" t="s">
        <v>38</v>
      </c>
      <c r="S25" s="1" t="s">
        <v>32</v>
      </c>
      <c r="T25" s="3" t="str">
        <f>Sheet4!H25</f>
        <v xml:space="preserve"> View Map </v>
      </c>
    </row>
    <row r="26" spans="1:20" ht="15.75" customHeight="1" x14ac:dyDescent="0.25">
      <c r="A26" s="1" t="s">
        <v>180</v>
      </c>
      <c r="B26" s="1" t="s">
        <v>181</v>
      </c>
      <c r="C26" s="2">
        <v>2005</v>
      </c>
      <c r="D26" s="1" t="s">
        <v>24</v>
      </c>
      <c r="E26" s="2">
        <v>1</v>
      </c>
      <c r="F26" s="1" t="s">
        <v>182</v>
      </c>
      <c r="G26" s="1"/>
      <c r="H26" s="2">
        <v>1350</v>
      </c>
      <c r="I26" s="2">
        <v>65000</v>
      </c>
      <c r="J26" s="1" t="s">
        <v>183</v>
      </c>
      <c r="K26" s="2">
        <v>65000</v>
      </c>
      <c r="L26" s="1" t="s">
        <v>29</v>
      </c>
      <c r="M26" s="1" t="s">
        <v>30</v>
      </c>
      <c r="N26" s="1" t="s">
        <v>20</v>
      </c>
      <c r="O26" s="1" t="s">
        <v>173</v>
      </c>
      <c r="P26" s="1" t="s">
        <v>20</v>
      </c>
      <c r="Q26" s="1" t="s">
        <v>179</v>
      </c>
      <c r="R26" s="1" t="s">
        <v>174</v>
      </c>
      <c r="S26" s="1" t="s">
        <v>32</v>
      </c>
      <c r="T26" s="3" t="str">
        <f>Sheet4!H26</f>
        <v xml:space="preserve"> View Map </v>
      </c>
    </row>
    <row r="27" spans="1:20" ht="15.75" customHeight="1" x14ac:dyDescent="0.25">
      <c r="A27" s="1" t="s">
        <v>185</v>
      </c>
      <c r="B27" s="1" t="s">
        <v>186</v>
      </c>
      <c r="C27" s="2">
        <v>2005</v>
      </c>
      <c r="D27" s="1" t="s">
        <v>24</v>
      </c>
      <c r="E27" s="2">
        <v>0</v>
      </c>
      <c r="F27" s="1"/>
      <c r="G27" s="1"/>
      <c r="H27" s="2">
        <v>0</v>
      </c>
      <c r="I27" s="2">
        <v>0</v>
      </c>
      <c r="J27" s="1"/>
      <c r="K27" s="1" t="s">
        <v>28</v>
      </c>
      <c r="L27" s="1" t="s">
        <v>29</v>
      </c>
      <c r="M27" s="1" t="s">
        <v>134</v>
      </c>
      <c r="N27" s="1" t="s">
        <v>160</v>
      </c>
      <c r="O27" s="1" t="s">
        <v>187</v>
      </c>
      <c r="P27" s="1" t="s">
        <v>45</v>
      </c>
      <c r="Q27" s="1" t="s">
        <v>184</v>
      </c>
      <c r="R27" s="1" t="s">
        <v>188</v>
      </c>
      <c r="S27" s="1" t="s">
        <v>71</v>
      </c>
      <c r="T27" s="3" t="str">
        <f>Sheet4!H27</f>
        <v xml:space="preserve"> View Map </v>
      </c>
    </row>
    <row r="28" spans="1:20" ht="15.75" customHeight="1" x14ac:dyDescent="0.25">
      <c r="A28" s="1" t="s">
        <v>189</v>
      </c>
      <c r="B28" s="1" t="s">
        <v>190</v>
      </c>
      <c r="C28" s="2">
        <v>2005</v>
      </c>
      <c r="D28" s="1" t="s">
        <v>24</v>
      </c>
      <c r="E28" s="2">
        <v>0</v>
      </c>
      <c r="F28" s="1"/>
      <c r="G28" s="1"/>
      <c r="H28" s="2">
        <v>0</v>
      </c>
      <c r="I28" s="2">
        <v>0</v>
      </c>
      <c r="J28" s="1" t="s">
        <v>191</v>
      </c>
      <c r="K28" s="1" t="s">
        <v>28</v>
      </c>
      <c r="L28" s="1" t="s">
        <v>29</v>
      </c>
      <c r="M28" s="1" t="s">
        <v>134</v>
      </c>
      <c r="N28" s="1" t="s">
        <v>160</v>
      </c>
      <c r="O28" s="1" t="s">
        <v>28</v>
      </c>
      <c r="P28" s="1" t="s">
        <v>153</v>
      </c>
      <c r="Q28" s="1" t="s">
        <v>28</v>
      </c>
      <c r="R28" s="1" t="s">
        <v>192</v>
      </c>
      <c r="S28" s="1" t="s">
        <v>32</v>
      </c>
      <c r="T28" s="3" t="str">
        <f>Sheet4!H28</f>
        <v xml:space="preserve"> View Map </v>
      </c>
    </row>
    <row r="29" spans="1:20" ht="15.75" customHeight="1" x14ac:dyDescent="0.25">
      <c r="A29" s="1" t="s">
        <v>194</v>
      </c>
      <c r="B29" s="1" t="s">
        <v>195</v>
      </c>
      <c r="C29" s="2">
        <v>2005</v>
      </c>
      <c r="D29" s="1" t="s">
        <v>24</v>
      </c>
      <c r="E29" s="2">
        <v>1</v>
      </c>
      <c r="F29" s="1" t="s">
        <v>196</v>
      </c>
      <c r="G29" s="1" t="s">
        <v>197</v>
      </c>
      <c r="H29" s="2">
        <v>3648</v>
      </c>
      <c r="I29" s="2">
        <v>40000</v>
      </c>
      <c r="J29" s="1" t="s">
        <v>198</v>
      </c>
      <c r="K29" s="2">
        <v>40000</v>
      </c>
      <c r="L29" s="1" t="s">
        <v>51</v>
      </c>
      <c r="M29" s="1" t="s">
        <v>159</v>
      </c>
      <c r="N29" s="1" t="s">
        <v>160</v>
      </c>
      <c r="O29" s="1" t="s">
        <v>199</v>
      </c>
      <c r="P29" s="1" t="s">
        <v>153</v>
      </c>
      <c r="Q29" s="1" t="s">
        <v>193</v>
      </c>
      <c r="R29" s="1" t="s">
        <v>200</v>
      </c>
      <c r="S29" s="1" t="s">
        <v>32</v>
      </c>
      <c r="T29" s="3" t="str">
        <f>Sheet4!H29</f>
        <v xml:space="preserve"> View Map </v>
      </c>
    </row>
    <row r="30" spans="1:20" ht="15.75" customHeight="1" x14ac:dyDescent="0.25">
      <c r="A30" s="1" t="s">
        <v>201</v>
      </c>
      <c r="B30" s="1" t="s">
        <v>202</v>
      </c>
      <c r="C30" s="2">
        <v>2005</v>
      </c>
      <c r="D30" s="1" t="s">
        <v>24</v>
      </c>
      <c r="E30" s="2">
        <v>0</v>
      </c>
      <c r="F30" s="1"/>
      <c r="G30" s="1"/>
      <c r="H30" s="2">
        <v>0</v>
      </c>
      <c r="I30" s="2">
        <v>0</v>
      </c>
      <c r="J30" s="1"/>
      <c r="K30" s="1" t="s">
        <v>28</v>
      </c>
      <c r="L30" s="1" t="s">
        <v>51</v>
      </c>
      <c r="M30" s="1" t="s">
        <v>52</v>
      </c>
      <c r="N30" s="1" t="s">
        <v>53</v>
      </c>
      <c r="O30" s="1" t="s">
        <v>203</v>
      </c>
      <c r="P30" s="1" t="s">
        <v>45</v>
      </c>
      <c r="Q30" s="1" t="s">
        <v>53</v>
      </c>
      <c r="R30" s="1" t="s">
        <v>204</v>
      </c>
      <c r="S30" s="1" t="s">
        <v>56</v>
      </c>
      <c r="T30" s="3" t="str">
        <f>Sheet4!H30</f>
        <v xml:space="preserve"> View Map </v>
      </c>
    </row>
    <row r="31" spans="1:20" ht="15.75" customHeight="1" x14ac:dyDescent="0.25">
      <c r="A31" s="1" t="s">
        <v>205</v>
      </c>
      <c r="B31" s="1" t="s">
        <v>206</v>
      </c>
      <c r="C31" s="2">
        <v>0</v>
      </c>
      <c r="D31" s="1" t="s">
        <v>24</v>
      </c>
      <c r="E31" s="2">
        <v>1</v>
      </c>
      <c r="F31" s="1" t="s">
        <v>207</v>
      </c>
      <c r="G31" s="1" t="s">
        <v>208</v>
      </c>
      <c r="H31" s="2">
        <v>476</v>
      </c>
      <c r="I31" s="2">
        <v>28000</v>
      </c>
      <c r="J31" s="1" t="s">
        <v>209</v>
      </c>
      <c r="K31" s="2">
        <v>28000</v>
      </c>
      <c r="L31" s="1" t="s">
        <v>29</v>
      </c>
      <c r="M31" s="1" t="s">
        <v>30</v>
      </c>
      <c r="N31" s="1" t="s">
        <v>20</v>
      </c>
      <c r="O31" s="1" t="s">
        <v>31</v>
      </c>
      <c r="P31" s="1" t="s">
        <v>20</v>
      </c>
      <c r="Q31" s="1" t="s">
        <v>33</v>
      </c>
      <c r="R31" s="1" t="s">
        <v>38</v>
      </c>
      <c r="S31" s="1" t="s">
        <v>32</v>
      </c>
      <c r="T31" s="3" t="str">
        <f>Sheet4!H31</f>
        <v xml:space="preserve"> View Map </v>
      </c>
    </row>
    <row r="32" spans="1:20" ht="15.75" customHeight="1" x14ac:dyDescent="0.25">
      <c r="A32" s="1" t="s">
        <v>210</v>
      </c>
      <c r="B32" s="1" t="s">
        <v>211</v>
      </c>
      <c r="C32" s="2">
        <v>2014</v>
      </c>
      <c r="D32" s="1" t="s">
        <v>24</v>
      </c>
      <c r="E32" s="2">
        <v>1</v>
      </c>
      <c r="F32" s="1" t="s">
        <v>212</v>
      </c>
      <c r="G32" s="1"/>
      <c r="H32" s="2">
        <v>4224</v>
      </c>
      <c r="I32" s="2">
        <v>25000</v>
      </c>
      <c r="J32" s="1" t="s">
        <v>213</v>
      </c>
      <c r="K32" s="2">
        <v>25000</v>
      </c>
      <c r="L32" s="1" t="s">
        <v>29</v>
      </c>
      <c r="M32" s="1" t="s">
        <v>30</v>
      </c>
      <c r="N32" s="1" t="s">
        <v>20</v>
      </c>
      <c r="O32" s="1" t="s">
        <v>173</v>
      </c>
      <c r="P32" s="1" t="s">
        <v>20</v>
      </c>
      <c r="Q32" s="1" t="s">
        <v>179</v>
      </c>
      <c r="R32" s="1" t="s">
        <v>174</v>
      </c>
      <c r="S32" s="1" t="s">
        <v>32</v>
      </c>
      <c r="T32" s="3" t="str">
        <f>Sheet4!H32</f>
        <v xml:space="preserve"> View Map </v>
      </c>
    </row>
    <row r="33" spans="1:20" ht="15.75" customHeight="1" x14ac:dyDescent="0.25">
      <c r="A33" s="1" t="s">
        <v>214</v>
      </c>
      <c r="B33" s="1" t="s">
        <v>215</v>
      </c>
      <c r="C33" s="2">
        <v>2024</v>
      </c>
      <c r="D33" s="1" t="s">
        <v>24</v>
      </c>
      <c r="E33" s="2">
        <v>1</v>
      </c>
      <c r="F33" s="1" t="s">
        <v>216</v>
      </c>
      <c r="G33" s="1" t="s">
        <v>217</v>
      </c>
      <c r="H33" s="2">
        <v>1450</v>
      </c>
      <c r="I33" s="2">
        <v>15000</v>
      </c>
      <c r="J33" s="1" t="s">
        <v>218</v>
      </c>
      <c r="K33" s="2">
        <v>15000</v>
      </c>
      <c r="L33" s="1" t="s">
        <v>29</v>
      </c>
      <c r="M33" s="1" t="s">
        <v>134</v>
      </c>
      <c r="N33" s="1" t="s">
        <v>160</v>
      </c>
      <c r="O33" s="1" t="s">
        <v>219</v>
      </c>
      <c r="P33" s="1" t="s">
        <v>153</v>
      </c>
      <c r="Q33" s="1" t="s">
        <v>153</v>
      </c>
      <c r="R33" s="1" t="s">
        <v>220</v>
      </c>
      <c r="S33" s="1" t="s">
        <v>71</v>
      </c>
      <c r="T33" s="3" t="str">
        <f>Sheet4!H33</f>
        <v xml:space="preserve"> View Map </v>
      </c>
    </row>
    <row r="34" spans="1:20" ht="15.75" customHeight="1" x14ac:dyDescent="0.25">
      <c r="A34" s="1" t="s">
        <v>221</v>
      </c>
      <c r="B34" s="1" t="s">
        <v>222</v>
      </c>
      <c r="C34" s="2">
        <v>1940</v>
      </c>
      <c r="D34" s="1" t="s">
        <v>24</v>
      </c>
      <c r="E34" s="2">
        <v>1</v>
      </c>
      <c r="F34" s="1" t="s">
        <v>223</v>
      </c>
      <c r="G34" s="1" t="s">
        <v>224</v>
      </c>
      <c r="H34" s="2">
        <v>5000</v>
      </c>
      <c r="I34" s="2">
        <v>18000</v>
      </c>
      <c r="J34" s="1" t="s">
        <v>225</v>
      </c>
      <c r="K34" s="2">
        <v>18000</v>
      </c>
      <c r="L34" s="1" t="s">
        <v>29</v>
      </c>
      <c r="M34" s="1" t="s">
        <v>134</v>
      </c>
      <c r="N34" s="1" t="s">
        <v>160</v>
      </c>
      <c r="O34" s="1" t="s">
        <v>219</v>
      </c>
      <c r="P34" s="1" t="s">
        <v>153</v>
      </c>
      <c r="Q34" s="1" t="s">
        <v>153</v>
      </c>
      <c r="R34" s="1" t="s">
        <v>192</v>
      </c>
      <c r="S34" s="1" t="s">
        <v>71</v>
      </c>
      <c r="T34" s="3" t="str">
        <f>Sheet4!H34</f>
        <v xml:space="preserve"> View Map </v>
      </c>
    </row>
    <row r="35" spans="1:20" ht="15.75" customHeight="1" x14ac:dyDescent="0.25">
      <c r="A35" s="1" t="s">
        <v>226</v>
      </c>
      <c r="B35" s="1" t="s">
        <v>227</v>
      </c>
      <c r="C35" s="2">
        <v>1953</v>
      </c>
      <c r="D35" s="1" t="s">
        <v>24</v>
      </c>
      <c r="E35" s="2">
        <v>1</v>
      </c>
      <c r="F35" s="1" t="s">
        <v>228</v>
      </c>
      <c r="G35" s="1" t="s">
        <v>229</v>
      </c>
      <c r="H35" s="2">
        <v>4900</v>
      </c>
      <c r="I35" s="2">
        <v>64000</v>
      </c>
      <c r="J35" s="1" t="s">
        <v>230</v>
      </c>
      <c r="K35" s="2">
        <v>64000</v>
      </c>
      <c r="L35" s="1" t="s">
        <v>29</v>
      </c>
      <c r="M35" s="1" t="s">
        <v>30</v>
      </c>
      <c r="N35" s="1" t="s">
        <v>20</v>
      </c>
      <c r="O35" s="1" t="s">
        <v>43</v>
      </c>
      <c r="P35" s="1" t="s">
        <v>20</v>
      </c>
      <c r="Q35" s="1" t="s">
        <v>21</v>
      </c>
      <c r="R35" s="1" t="s">
        <v>85</v>
      </c>
      <c r="S35" s="1" t="s">
        <v>32</v>
      </c>
      <c r="T35" s="3" t="str">
        <f>Sheet4!H35</f>
        <v xml:space="preserve"> View Map </v>
      </c>
    </row>
    <row r="36" spans="1:20" ht="15.75" customHeight="1" x14ac:dyDescent="0.25">
      <c r="A36" s="1" t="s">
        <v>231</v>
      </c>
      <c r="B36" s="1" t="s">
        <v>232</v>
      </c>
      <c r="C36" s="2">
        <v>2005</v>
      </c>
      <c r="D36" s="1" t="s">
        <v>24</v>
      </c>
      <c r="E36" s="2">
        <v>1</v>
      </c>
      <c r="F36" s="1" t="s">
        <v>233</v>
      </c>
      <c r="G36" s="1" t="s">
        <v>114</v>
      </c>
      <c r="H36" s="2">
        <v>1500</v>
      </c>
      <c r="I36" s="2">
        <v>26000</v>
      </c>
      <c r="J36" s="1" t="s">
        <v>234</v>
      </c>
      <c r="K36" s="1" t="s">
        <v>28</v>
      </c>
      <c r="L36" s="1" t="s">
        <v>68</v>
      </c>
      <c r="M36" s="1" t="s">
        <v>69</v>
      </c>
      <c r="N36" s="1" t="s">
        <v>72</v>
      </c>
      <c r="O36" s="1" t="s">
        <v>78</v>
      </c>
      <c r="P36" s="1" t="s">
        <v>72</v>
      </c>
      <c r="Q36" s="1" t="s">
        <v>73</v>
      </c>
      <c r="R36" s="1" t="s">
        <v>73</v>
      </c>
      <c r="S36" s="1" t="s">
        <v>32</v>
      </c>
      <c r="T36" s="3" t="str">
        <f>Sheet4!H36</f>
        <v xml:space="preserve"> View Map </v>
      </c>
    </row>
    <row r="37" spans="1:20" ht="15" x14ac:dyDescent="0.25">
      <c r="A37" s="1" t="s">
        <v>235</v>
      </c>
      <c r="B37" s="1" t="s">
        <v>236</v>
      </c>
      <c r="C37" s="2">
        <v>1939</v>
      </c>
      <c r="D37" s="1" t="s">
        <v>24</v>
      </c>
      <c r="E37" s="2">
        <v>1</v>
      </c>
      <c r="F37" s="1" t="s">
        <v>237</v>
      </c>
      <c r="G37" s="1" t="s">
        <v>171</v>
      </c>
      <c r="H37" s="2">
        <v>4364</v>
      </c>
      <c r="I37" s="2">
        <v>15000</v>
      </c>
      <c r="J37" s="1" t="s">
        <v>238</v>
      </c>
      <c r="K37" s="2">
        <v>15000</v>
      </c>
      <c r="L37" s="1" t="s">
        <v>29</v>
      </c>
      <c r="M37" s="1" t="s">
        <v>30</v>
      </c>
      <c r="N37" s="1" t="s">
        <v>20</v>
      </c>
      <c r="O37" s="1" t="s">
        <v>173</v>
      </c>
      <c r="P37" s="1" t="s">
        <v>20</v>
      </c>
      <c r="Q37" s="1" t="s">
        <v>168</v>
      </c>
      <c r="R37" s="1" t="s">
        <v>174</v>
      </c>
      <c r="S37" s="1" t="s">
        <v>71</v>
      </c>
      <c r="T37" s="3" t="str">
        <f>Sheet4!H37</f>
        <v xml:space="preserve"> View Map </v>
      </c>
    </row>
    <row r="38" spans="1:20" ht="15" x14ac:dyDescent="0.25">
      <c r="A38" s="1" t="s">
        <v>239</v>
      </c>
      <c r="B38" s="1" t="s">
        <v>240</v>
      </c>
      <c r="C38" s="2">
        <v>0</v>
      </c>
      <c r="D38" s="1" t="s">
        <v>24</v>
      </c>
      <c r="E38" s="2">
        <v>1</v>
      </c>
      <c r="F38" s="1" t="s">
        <v>241</v>
      </c>
      <c r="G38" s="1" t="s">
        <v>242</v>
      </c>
      <c r="H38" s="2">
        <v>1738</v>
      </c>
      <c r="I38" s="2">
        <v>25000</v>
      </c>
      <c r="J38" s="1" t="s">
        <v>243</v>
      </c>
      <c r="K38" s="2">
        <v>25000</v>
      </c>
      <c r="L38" s="1" t="s">
        <v>68</v>
      </c>
      <c r="M38" s="1" t="s">
        <v>69</v>
      </c>
      <c r="N38" s="1" t="s">
        <v>72</v>
      </c>
      <c r="O38" s="1" t="s">
        <v>78</v>
      </c>
      <c r="P38" s="1" t="s">
        <v>72</v>
      </c>
      <c r="Q38" s="1" t="s">
        <v>73</v>
      </c>
      <c r="R38" s="1" t="s">
        <v>73</v>
      </c>
      <c r="S38" s="1" t="s">
        <v>32</v>
      </c>
      <c r="T38" s="3" t="str">
        <f>Sheet4!H38</f>
        <v xml:space="preserve"> View Map </v>
      </c>
    </row>
    <row r="39" spans="1:20" ht="15" x14ac:dyDescent="0.25">
      <c r="A39" s="1" t="s">
        <v>244</v>
      </c>
      <c r="B39" s="1" t="s">
        <v>245</v>
      </c>
      <c r="C39" s="2">
        <v>1928</v>
      </c>
      <c r="D39" s="1" t="s">
        <v>24</v>
      </c>
      <c r="E39" s="2">
        <v>1</v>
      </c>
      <c r="F39" s="1" t="s">
        <v>246</v>
      </c>
      <c r="G39" s="1"/>
      <c r="H39" s="2">
        <v>0</v>
      </c>
      <c r="I39" s="2">
        <v>46000</v>
      </c>
      <c r="J39" s="1" t="s">
        <v>247</v>
      </c>
      <c r="K39" s="2">
        <v>46000</v>
      </c>
      <c r="L39" s="1" t="s">
        <v>29</v>
      </c>
      <c r="M39" s="1" t="s">
        <v>30</v>
      </c>
      <c r="N39" s="1" t="s">
        <v>20</v>
      </c>
      <c r="O39" s="1" t="s">
        <v>173</v>
      </c>
      <c r="P39" s="1" t="s">
        <v>20</v>
      </c>
      <c r="Q39" s="1" t="s">
        <v>179</v>
      </c>
      <c r="R39" s="1" t="s">
        <v>174</v>
      </c>
      <c r="S39" s="1" t="s">
        <v>32</v>
      </c>
      <c r="T39" s="3" t="str">
        <f>Sheet4!H39</f>
        <v xml:space="preserve"> View Map </v>
      </c>
    </row>
    <row r="40" spans="1:20" ht="15" x14ac:dyDescent="0.25">
      <c r="A40" s="1" t="s">
        <v>248</v>
      </c>
      <c r="B40" s="1" t="s">
        <v>249</v>
      </c>
      <c r="C40" s="2">
        <v>2005</v>
      </c>
      <c r="D40" s="1" t="s">
        <v>24</v>
      </c>
      <c r="E40" s="2">
        <v>1</v>
      </c>
      <c r="F40" s="1" t="s">
        <v>250</v>
      </c>
      <c r="G40" s="1"/>
      <c r="H40" s="2">
        <v>5200</v>
      </c>
      <c r="I40" s="2">
        <v>60000</v>
      </c>
      <c r="J40" s="1" t="s">
        <v>251</v>
      </c>
      <c r="K40" s="2">
        <v>60000</v>
      </c>
      <c r="L40" s="1" t="s">
        <v>29</v>
      </c>
      <c r="M40" s="1" t="s">
        <v>134</v>
      </c>
      <c r="N40" s="1" t="s">
        <v>20</v>
      </c>
      <c r="O40" s="1" t="s">
        <v>135</v>
      </c>
      <c r="P40" s="1" t="s">
        <v>20</v>
      </c>
      <c r="Q40" s="1" t="s">
        <v>129</v>
      </c>
      <c r="R40" s="1" t="s">
        <v>136</v>
      </c>
      <c r="S40" s="1" t="s">
        <v>32</v>
      </c>
      <c r="T40" s="3" t="str">
        <f>Sheet4!H40</f>
        <v xml:space="preserve"> View Map </v>
      </c>
    </row>
    <row r="41" spans="1:20" ht="15" x14ac:dyDescent="0.25">
      <c r="A41" s="1" t="s">
        <v>252</v>
      </c>
      <c r="B41" s="1" t="s">
        <v>253</v>
      </c>
      <c r="C41" s="2">
        <v>2005</v>
      </c>
      <c r="D41" s="1" t="s">
        <v>24</v>
      </c>
      <c r="E41" s="2">
        <v>0</v>
      </c>
      <c r="F41" s="1"/>
      <c r="G41" s="1"/>
      <c r="H41" s="2">
        <v>0</v>
      </c>
      <c r="I41" s="2">
        <v>0</v>
      </c>
      <c r="J41" s="1"/>
      <c r="K41" s="1" t="s">
        <v>28</v>
      </c>
      <c r="L41" s="1" t="s">
        <v>29</v>
      </c>
      <c r="M41" s="1" t="s">
        <v>30</v>
      </c>
      <c r="N41" s="1" t="s">
        <v>53</v>
      </c>
      <c r="O41" s="1" t="s">
        <v>254</v>
      </c>
      <c r="P41" s="1" t="s">
        <v>45</v>
      </c>
      <c r="Q41" s="1" t="s">
        <v>28</v>
      </c>
      <c r="R41" s="1" t="s">
        <v>174</v>
      </c>
      <c r="S41" s="1" t="s">
        <v>32</v>
      </c>
      <c r="T41" s="3" t="str">
        <f>Sheet4!H41</f>
        <v xml:space="preserve"> View Map </v>
      </c>
    </row>
    <row r="42" spans="1:20" ht="15" x14ac:dyDescent="0.25">
      <c r="A42" s="1" t="s">
        <v>255</v>
      </c>
      <c r="B42" s="1" t="s">
        <v>256</v>
      </c>
      <c r="C42" s="2">
        <v>0</v>
      </c>
      <c r="D42" s="1" t="s">
        <v>24</v>
      </c>
      <c r="E42" s="2">
        <v>1</v>
      </c>
      <c r="F42" s="1" t="s">
        <v>257</v>
      </c>
      <c r="G42" s="1"/>
      <c r="H42" s="2">
        <v>0</v>
      </c>
      <c r="I42" s="2">
        <v>68000</v>
      </c>
      <c r="J42" s="1" t="s">
        <v>258</v>
      </c>
      <c r="K42" s="2">
        <v>68000</v>
      </c>
      <c r="L42" s="1" t="s">
        <v>29</v>
      </c>
      <c r="M42" s="1" t="s">
        <v>30</v>
      </c>
      <c r="N42" s="1" t="s">
        <v>20</v>
      </c>
      <c r="O42" s="1" t="s">
        <v>173</v>
      </c>
      <c r="P42" s="1" t="s">
        <v>20</v>
      </c>
      <c r="Q42" s="1" t="s">
        <v>179</v>
      </c>
      <c r="R42" s="1" t="s">
        <v>259</v>
      </c>
      <c r="S42" s="1" t="s">
        <v>32</v>
      </c>
      <c r="T42" s="3" t="str">
        <f>Sheet4!H42</f>
        <v xml:space="preserve"> View Map </v>
      </c>
    </row>
    <row r="43" spans="1:20" ht="15" x14ac:dyDescent="0.25">
      <c r="A43" s="1" t="s">
        <v>260</v>
      </c>
      <c r="B43" s="1" t="s">
        <v>261</v>
      </c>
      <c r="C43" s="2">
        <v>2021</v>
      </c>
      <c r="D43" s="1" t="s">
        <v>24</v>
      </c>
      <c r="E43" s="2">
        <v>0</v>
      </c>
      <c r="F43" s="1"/>
      <c r="G43" s="1"/>
      <c r="H43" s="2">
        <v>3660</v>
      </c>
      <c r="I43" s="2">
        <v>0</v>
      </c>
      <c r="J43" s="1"/>
      <c r="K43" s="1" t="s">
        <v>28</v>
      </c>
      <c r="L43" s="1" t="s">
        <v>51</v>
      </c>
      <c r="M43" s="1" t="s">
        <v>28</v>
      </c>
      <c r="N43" s="1" t="s">
        <v>20</v>
      </c>
      <c r="O43" s="1" t="s">
        <v>43</v>
      </c>
      <c r="P43" s="1" t="s">
        <v>20</v>
      </c>
      <c r="Q43" s="1" t="s">
        <v>21</v>
      </c>
      <c r="R43" s="1" t="s">
        <v>262</v>
      </c>
      <c r="S43" s="1" t="s">
        <v>32</v>
      </c>
      <c r="T43" s="3" t="str">
        <f>Sheet4!H43</f>
        <v xml:space="preserve"> View Map </v>
      </c>
    </row>
    <row r="44" spans="1:20" ht="15" x14ac:dyDescent="0.25">
      <c r="A44" s="1" t="s">
        <v>263</v>
      </c>
      <c r="B44" s="1" t="s">
        <v>264</v>
      </c>
      <c r="C44" s="2">
        <v>2005</v>
      </c>
      <c r="D44" s="1" t="s">
        <v>24</v>
      </c>
      <c r="E44" s="2">
        <v>1</v>
      </c>
      <c r="F44" s="1" t="s">
        <v>265</v>
      </c>
      <c r="G44" s="1"/>
      <c r="H44" s="2">
        <v>0</v>
      </c>
      <c r="I44" s="2">
        <v>47000</v>
      </c>
      <c r="J44" s="1" t="s">
        <v>266</v>
      </c>
      <c r="K44" s="2">
        <v>47000</v>
      </c>
      <c r="L44" s="1" t="s">
        <v>29</v>
      </c>
      <c r="M44" s="1" t="s">
        <v>30</v>
      </c>
      <c r="N44" s="1" t="s">
        <v>20</v>
      </c>
      <c r="O44" s="1" t="s">
        <v>31</v>
      </c>
      <c r="P44" s="1" t="s">
        <v>20</v>
      </c>
      <c r="Q44" s="1" t="s">
        <v>33</v>
      </c>
      <c r="R44" s="1" t="s">
        <v>38</v>
      </c>
      <c r="S44" s="1" t="s">
        <v>32</v>
      </c>
      <c r="T44" s="3" t="str">
        <f>Sheet4!H44</f>
        <v xml:space="preserve"> View Map </v>
      </c>
    </row>
    <row r="45" spans="1:20" ht="15" x14ac:dyDescent="0.25">
      <c r="A45" s="1" t="s">
        <v>267</v>
      </c>
      <c r="B45" s="1" t="s">
        <v>268</v>
      </c>
      <c r="C45" s="2">
        <v>2015</v>
      </c>
      <c r="D45" s="1" t="s">
        <v>24</v>
      </c>
      <c r="E45" s="2">
        <v>1</v>
      </c>
      <c r="F45" s="1" t="s">
        <v>269</v>
      </c>
      <c r="G45" s="1"/>
      <c r="H45" s="2">
        <v>5000</v>
      </c>
      <c r="I45" s="2">
        <v>50000</v>
      </c>
      <c r="J45" s="1" t="s">
        <v>270</v>
      </c>
      <c r="K45" s="2">
        <v>50000</v>
      </c>
      <c r="L45" s="1" t="s">
        <v>29</v>
      </c>
      <c r="M45" s="1" t="s">
        <v>134</v>
      </c>
      <c r="N45" s="1" t="s">
        <v>20</v>
      </c>
      <c r="O45" s="1" t="s">
        <v>135</v>
      </c>
      <c r="P45" s="1" t="s">
        <v>20</v>
      </c>
      <c r="Q45" s="1" t="s">
        <v>129</v>
      </c>
      <c r="R45" s="1" t="s">
        <v>136</v>
      </c>
      <c r="S45" s="1" t="s">
        <v>32</v>
      </c>
      <c r="T45" s="3" t="str">
        <f>Sheet4!H45</f>
        <v xml:space="preserve"> View Map </v>
      </c>
    </row>
    <row r="46" spans="1:20" ht="15" x14ac:dyDescent="0.25">
      <c r="A46" s="1" t="s">
        <v>271</v>
      </c>
      <c r="B46" s="1" t="s">
        <v>272</v>
      </c>
      <c r="C46" s="2">
        <v>1953</v>
      </c>
      <c r="D46" s="1" t="s">
        <v>24</v>
      </c>
      <c r="E46" s="2">
        <v>1</v>
      </c>
      <c r="F46" s="1" t="s">
        <v>273</v>
      </c>
      <c r="G46" s="1"/>
      <c r="H46" s="2">
        <v>6000</v>
      </c>
      <c r="I46" s="2">
        <v>50000</v>
      </c>
      <c r="J46" s="1" t="s">
        <v>274</v>
      </c>
      <c r="K46" s="2">
        <v>40000</v>
      </c>
      <c r="L46" s="1" t="s">
        <v>29</v>
      </c>
      <c r="M46" s="1" t="s">
        <v>134</v>
      </c>
      <c r="N46" s="1" t="s">
        <v>20</v>
      </c>
      <c r="O46" s="1" t="s">
        <v>135</v>
      </c>
      <c r="P46" s="1" t="s">
        <v>20</v>
      </c>
      <c r="Q46" s="1" t="s">
        <v>129</v>
      </c>
      <c r="R46" s="1" t="s">
        <v>136</v>
      </c>
      <c r="S46" s="1" t="s">
        <v>32</v>
      </c>
      <c r="T46" s="3" t="str">
        <f>Sheet4!H46</f>
        <v xml:space="preserve"> View Map </v>
      </c>
    </row>
    <row r="47" spans="1:20" ht="15" x14ac:dyDescent="0.25">
      <c r="A47" s="1" t="s">
        <v>277</v>
      </c>
      <c r="B47" s="1" t="s">
        <v>278</v>
      </c>
      <c r="C47" s="2">
        <v>2023</v>
      </c>
      <c r="D47" s="1" t="s">
        <v>24</v>
      </c>
      <c r="E47" s="2">
        <v>1</v>
      </c>
      <c r="F47" s="1" t="s">
        <v>279</v>
      </c>
      <c r="G47" s="1" t="s">
        <v>280</v>
      </c>
      <c r="H47" s="2">
        <v>60</v>
      </c>
      <c r="I47" s="2">
        <v>35000</v>
      </c>
      <c r="J47" s="1" t="s">
        <v>281</v>
      </c>
      <c r="K47" s="2">
        <v>35000</v>
      </c>
      <c r="L47" s="1" t="s">
        <v>68</v>
      </c>
      <c r="M47" s="1" t="s">
        <v>69</v>
      </c>
      <c r="N47" s="1" t="s">
        <v>275</v>
      </c>
      <c r="O47" s="1" t="s">
        <v>282</v>
      </c>
      <c r="P47" s="1" t="s">
        <v>275</v>
      </c>
      <c r="Q47" s="1" t="s">
        <v>276</v>
      </c>
      <c r="R47" s="1" t="s">
        <v>275</v>
      </c>
      <c r="S47" s="1" t="s">
        <v>71</v>
      </c>
      <c r="T47" s="3" t="str">
        <f>Sheet4!H47</f>
        <v xml:space="preserve"> View Map </v>
      </c>
    </row>
    <row r="48" spans="1:20" ht="15" x14ac:dyDescent="0.25">
      <c r="A48" s="1" t="s">
        <v>283</v>
      </c>
      <c r="B48" s="1" t="s">
        <v>284</v>
      </c>
      <c r="C48" s="2">
        <v>2021</v>
      </c>
      <c r="D48" s="1" t="s">
        <v>24</v>
      </c>
      <c r="E48" s="2">
        <v>1</v>
      </c>
      <c r="F48" s="1" t="s">
        <v>285</v>
      </c>
      <c r="G48" s="1" t="s">
        <v>286</v>
      </c>
      <c r="H48" s="2">
        <v>1000</v>
      </c>
      <c r="I48" s="2">
        <v>29000</v>
      </c>
      <c r="J48" s="1" t="s">
        <v>287</v>
      </c>
      <c r="K48" s="2">
        <v>29000</v>
      </c>
      <c r="L48" s="1" t="s">
        <v>51</v>
      </c>
      <c r="M48" s="1" t="s">
        <v>52</v>
      </c>
      <c r="N48" s="1" t="s">
        <v>53</v>
      </c>
      <c r="O48" s="1" t="s">
        <v>62</v>
      </c>
      <c r="P48" s="1" t="s">
        <v>45</v>
      </c>
      <c r="Q48" s="1" t="s">
        <v>46</v>
      </c>
      <c r="R48" s="1" t="s">
        <v>55</v>
      </c>
      <c r="S48" s="1" t="s">
        <v>71</v>
      </c>
      <c r="T48" s="3" t="str">
        <f>Sheet4!H48</f>
        <v xml:space="preserve"> View Map </v>
      </c>
    </row>
    <row r="49" spans="1:20" ht="15" x14ac:dyDescent="0.25">
      <c r="A49" s="1" t="s">
        <v>288</v>
      </c>
      <c r="B49" s="1" t="s">
        <v>289</v>
      </c>
      <c r="C49" s="2">
        <v>2025</v>
      </c>
      <c r="D49" s="1" t="s">
        <v>24</v>
      </c>
      <c r="E49" s="2">
        <v>1</v>
      </c>
      <c r="F49" s="1" t="s">
        <v>290</v>
      </c>
      <c r="G49" s="1" t="s">
        <v>291</v>
      </c>
      <c r="H49" s="2">
        <v>1260</v>
      </c>
      <c r="I49" s="2">
        <v>32000</v>
      </c>
      <c r="J49" s="1" t="s">
        <v>292</v>
      </c>
      <c r="K49" s="2">
        <v>32000</v>
      </c>
      <c r="L49" s="1" t="s">
        <v>29</v>
      </c>
      <c r="M49" s="1" t="s">
        <v>30</v>
      </c>
      <c r="N49" s="1" t="s">
        <v>20</v>
      </c>
      <c r="O49" s="1" t="s">
        <v>43</v>
      </c>
      <c r="P49" s="1" t="s">
        <v>20</v>
      </c>
      <c r="Q49" s="1" t="s">
        <v>21</v>
      </c>
      <c r="R49" s="1" t="s">
        <v>293</v>
      </c>
      <c r="S49" s="1" t="s">
        <v>71</v>
      </c>
      <c r="T49" s="3" t="str">
        <f>Sheet4!H49</f>
        <v xml:space="preserve"> View Map </v>
      </c>
    </row>
    <row r="50" spans="1:20" ht="15" x14ac:dyDescent="0.25">
      <c r="A50" s="1" t="s">
        <v>294</v>
      </c>
      <c r="B50" s="1" t="s">
        <v>295</v>
      </c>
      <c r="C50" s="2">
        <v>2020</v>
      </c>
      <c r="D50" s="1" t="s">
        <v>24</v>
      </c>
      <c r="E50" s="2">
        <v>1</v>
      </c>
      <c r="F50" s="1" t="s">
        <v>296</v>
      </c>
      <c r="G50" s="1" t="s">
        <v>297</v>
      </c>
      <c r="H50" s="2">
        <v>40</v>
      </c>
      <c r="I50" s="2">
        <v>30000</v>
      </c>
      <c r="J50" s="1" t="s">
        <v>298</v>
      </c>
      <c r="K50" s="2">
        <v>30000</v>
      </c>
      <c r="L50" s="1" t="s">
        <v>68</v>
      </c>
      <c r="M50" s="1" t="s">
        <v>69</v>
      </c>
      <c r="N50" s="1" t="s">
        <v>275</v>
      </c>
      <c r="O50" s="1" t="s">
        <v>297</v>
      </c>
      <c r="P50" s="1" t="s">
        <v>275</v>
      </c>
      <c r="Q50" s="1" t="s">
        <v>276</v>
      </c>
      <c r="R50" s="1" t="s">
        <v>275</v>
      </c>
      <c r="S50" s="1" t="s">
        <v>299</v>
      </c>
      <c r="T50" s="3" t="str">
        <f>Sheet4!H50</f>
        <v xml:space="preserve"> View Map </v>
      </c>
    </row>
    <row r="51" spans="1:20" ht="15" x14ac:dyDescent="0.25">
      <c r="A51" s="1" t="s">
        <v>300</v>
      </c>
      <c r="B51" s="1" t="s">
        <v>301</v>
      </c>
      <c r="C51" s="2">
        <v>2005</v>
      </c>
      <c r="D51" s="1" t="s">
        <v>24</v>
      </c>
      <c r="E51" s="2">
        <v>1</v>
      </c>
      <c r="F51" s="1" t="s">
        <v>302</v>
      </c>
      <c r="G51" s="1"/>
      <c r="H51" s="2">
        <v>0</v>
      </c>
      <c r="I51" s="2">
        <v>31500</v>
      </c>
      <c r="J51" s="1" t="s">
        <v>303</v>
      </c>
      <c r="K51" s="2">
        <v>31500</v>
      </c>
      <c r="L51" s="1" t="s">
        <v>68</v>
      </c>
      <c r="M51" s="1" t="s">
        <v>69</v>
      </c>
      <c r="N51" s="1" t="s">
        <v>275</v>
      </c>
      <c r="O51" s="1" t="s">
        <v>297</v>
      </c>
      <c r="P51" s="1" t="s">
        <v>275</v>
      </c>
      <c r="Q51" s="1" t="s">
        <v>276</v>
      </c>
      <c r="R51" s="1" t="s">
        <v>275</v>
      </c>
      <c r="S51" s="1" t="s">
        <v>71</v>
      </c>
      <c r="T51" s="3" t="str">
        <f>Sheet4!H51</f>
        <v xml:space="preserve"> View Map </v>
      </c>
    </row>
    <row r="52" spans="1:20" ht="15" x14ac:dyDescent="0.25">
      <c r="A52" s="1" t="s">
        <v>306</v>
      </c>
      <c r="B52" s="1" t="s">
        <v>307</v>
      </c>
      <c r="C52" s="2">
        <v>2005</v>
      </c>
      <c r="D52" s="1" t="s">
        <v>24</v>
      </c>
      <c r="E52" s="2">
        <v>1</v>
      </c>
      <c r="F52" s="1"/>
      <c r="G52" s="1"/>
      <c r="H52" s="2">
        <v>0</v>
      </c>
      <c r="I52" s="2">
        <v>26000</v>
      </c>
      <c r="J52" s="1" t="s">
        <v>308</v>
      </c>
      <c r="K52" s="2">
        <v>26000</v>
      </c>
      <c r="L52" s="1" t="s">
        <v>68</v>
      </c>
      <c r="M52" s="1" t="s">
        <v>69</v>
      </c>
      <c r="N52" s="1" t="s">
        <v>309</v>
      </c>
      <c r="O52" s="1" t="s">
        <v>310</v>
      </c>
      <c r="P52" s="1" t="s">
        <v>304</v>
      </c>
      <c r="Q52" s="1" t="s">
        <v>305</v>
      </c>
      <c r="R52" s="1" t="s">
        <v>309</v>
      </c>
      <c r="S52" s="1" t="s">
        <v>32</v>
      </c>
      <c r="T52" s="3" t="str">
        <f>Sheet4!H52</f>
        <v xml:space="preserve"> View Map </v>
      </c>
    </row>
    <row r="53" spans="1:20" ht="15" x14ac:dyDescent="0.25">
      <c r="A53" s="1" t="s">
        <v>312</v>
      </c>
      <c r="B53" s="1" t="s">
        <v>313</v>
      </c>
      <c r="C53" s="2">
        <v>2005</v>
      </c>
      <c r="D53" s="1" t="s">
        <v>24</v>
      </c>
      <c r="E53" s="2">
        <v>1</v>
      </c>
      <c r="F53" s="1" t="s">
        <v>314</v>
      </c>
      <c r="G53" s="1"/>
      <c r="H53" s="2">
        <v>97</v>
      </c>
      <c r="I53" s="2">
        <v>48000</v>
      </c>
      <c r="J53" s="1" t="s">
        <v>315</v>
      </c>
      <c r="K53" s="2">
        <v>48000</v>
      </c>
      <c r="L53" s="1" t="s">
        <v>68</v>
      </c>
      <c r="M53" s="1" t="s">
        <v>69</v>
      </c>
      <c r="N53" s="1" t="s">
        <v>162</v>
      </c>
      <c r="O53" s="1" t="s">
        <v>167</v>
      </c>
      <c r="P53" s="1" t="s">
        <v>162</v>
      </c>
      <c r="Q53" s="1" t="s">
        <v>311</v>
      </c>
      <c r="R53" s="1" t="s">
        <v>162</v>
      </c>
      <c r="S53" s="1" t="s">
        <v>32</v>
      </c>
      <c r="T53" s="3" t="str">
        <f>Sheet4!H53</f>
        <v xml:space="preserve"> View Map </v>
      </c>
    </row>
    <row r="54" spans="1:20" ht="15" x14ac:dyDescent="0.25">
      <c r="A54" s="1" t="s">
        <v>317</v>
      </c>
      <c r="B54" s="1" t="s">
        <v>318</v>
      </c>
      <c r="C54" s="2">
        <v>0</v>
      </c>
      <c r="D54" s="1" t="s">
        <v>24</v>
      </c>
      <c r="E54" s="2">
        <v>1</v>
      </c>
      <c r="F54" s="1" t="s">
        <v>319</v>
      </c>
      <c r="G54" s="1" t="s">
        <v>320</v>
      </c>
      <c r="H54" s="2">
        <v>1250</v>
      </c>
      <c r="I54" s="2">
        <v>58000</v>
      </c>
      <c r="J54" s="1" t="s">
        <v>321</v>
      </c>
      <c r="K54" s="2">
        <v>58000</v>
      </c>
      <c r="L54" s="1" t="s">
        <v>68</v>
      </c>
      <c r="M54" s="1" t="s">
        <v>69</v>
      </c>
      <c r="N54" s="1" t="s">
        <v>322</v>
      </c>
      <c r="O54" s="1" t="s">
        <v>323</v>
      </c>
      <c r="P54" s="1" t="s">
        <v>162</v>
      </c>
      <c r="Q54" s="1" t="s">
        <v>316</v>
      </c>
      <c r="R54" s="1" t="s">
        <v>322</v>
      </c>
      <c r="S54" s="1" t="s">
        <v>32</v>
      </c>
      <c r="T54" s="3" t="str">
        <f>Sheet4!H54</f>
        <v xml:space="preserve"> View Map </v>
      </c>
    </row>
    <row r="55" spans="1:20" ht="15" x14ac:dyDescent="0.25">
      <c r="A55" s="1" t="s">
        <v>324</v>
      </c>
      <c r="B55" s="1" t="s">
        <v>325</v>
      </c>
      <c r="C55" s="2">
        <v>2021</v>
      </c>
      <c r="D55" s="1" t="s">
        <v>24</v>
      </c>
      <c r="E55" s="2">
        <v>0</v>
      </c>
      <c r="F55" s="1"/>
      <c r="G55" s="1"/>
      <c r="H55" s="2">
        <v>0</v>
      </c>
      <c r="I55" s="2">
        <v>0</v>
      </c>
      <c r="J55" s="1"/>
      <c r="K55" s="1" t="s">
        <v>28</v>
      </c>
      <c r="L55" s="1" t="s">
        <v>29</v>
      </c>
      <c r="M55" s="1" t="s">
        <v>30</v>
      </c>
      <c r="N55" s="1" t="s">
        <v>20</v>
      </c>
      <c r="O55" s="1" t="s">
        <v>173</v>
      </c>
      <c r="P55" s="1" t="s">
        <v>20</v>
      </c>
      <c r="Q55" s="1" t="s">
        <v>168</v>
      </c>
      <c r="R55" s="1" t="s">
        <v>174</v>
      </c>
      <c r="S55" s="1" t="s">
        <v>32</v>
      </c>
      <c r="T55" s="3" t="str">
        <f>Sheet4!H55</f>
        <v xml:space="preserve"> View Map </v>
      </c>
    </row>
    <row r="56" spans="1:20" ht="15" x14ac:dyDescent="0.25">
      <c r="A56" s="1" t="s">
        <v>326</v>
      </c>
      <c r="B56" s="1" t="s">
        <v>327</v>
      </c>
      <c r="C56" s="2">
        <v>2024</v>
      </c>
      <c r="D56" s="1" t="s">
        <v>24</v>
      </c>
      <c r="E56" s="2">
        <v>1</v>
      </c>
      <c r="F56" s="1" t="s">
        <v>328</v>
      </c>
      <c r="G56" s="1" t="s">
        <v>329</v>
      </c>
      <c r="H56" s="2">
        <v>661</v>
      </c>
      <c r="I56" s="2">
        <v>150000</v>
      </c>
      <c r="J56" s="1" t="s">
        <v>330</v>
      </c>
      <c r="K56" s="2">
        <v>150000</v>
      </c>
      <c r="L56" s="1" t="s">
        <v>51</v>
      </c>
      <c r="M56" s="1" t="s">
        <v>52</v>
      </c>
      <c r="N56" s="1" t="s">
        <v>53</v>
      </c>
      <c r="O56" s="1" t="s">
        <v>331</v>
      </c>
      <c r="P56" s="1" t="s">
        <v>45</v>
      </c>
      <c r="Q56" s="1" t="s">
        <v>146</v>
      </c>
      <c r="R56" s="1" t="s">
        <v>105</v>
      </c>
      <c r="S56" s="1" t="s">
        <v>71</v>
      </c>
      <c r="T56" s="3" t="str">
        <f>Sheet4!H56</f>
        <v xml:space="preserve"> View Map </v>
      </c>
    </row>
    <row r="57" spans="1:20" ht="15" x14ac:dyDescent="0.25">
      <c r="A57" s="1" t="s">
        <v>333</v>
      </c>
      <c r="B57" s="1" t="s">
        <v>334</v>
      </c>
      <c r="C57" s="2">
        <v>2024</v>
      </c>
      <c r="D57" s="1" t="s">
        <v>24</v>
      </c>
      <c r="E57" s="2">
        <v>1</v>
      </c>
      <c r="F57" s="1" t="s">
        <v>335</v>
      </c>
      <c r="G57" s="1" t="s">
        <v>336</v>
      </c>
      <c r="H57" s="2">
        <v>0</v>
      </c>
      <c r="I57" s="2">
        <v>20000</v>
      </c>
      <c r="J57" s="1" t="s">
        <v>337</v>
      </c>
      <c r="K57" s="2">
        <v>20000</v>
      </c>
      <c r="L57" s="1" t="s">
        <v>68</v>
      </c>
      <c r="M57" s="1" t="s">
        <v>69</v>
      </c>
      <c r="N57" s="1" t="s">
        <v>53</v>
      </c>
      <c r="O57" s="1" t="s">
        <v>338</v>
      </c>
      <c r="P57" s="1" t="s">
        <v>45</v>
      </c>
      <c r="Q57" s="1" t="s">
        <v>332</v>
      </c>
      <c r="R57" s="1" t="s">
        <v>128</v>
      </c>
      <c r="S57" s="1" t="s">
        <v>71</v>
      </c>
      <c r="T57" s="3" t="str">
        <f>Sheet4!H57</f>
        <v xml:space="preserve"> View Map </v>
      </c>
    </row>
    <row r="58" spans="1:20" ht="15" x14ac:dyDescent="0.25">
      <c r="A58" s="1" t="s">
        <v>339</v>
      </c>
      <c r="B58" s="1" t="s">
        <v>340</v>
      </c>
      <c r="C58" s="2">
        <v>2005</v>
      </c>
      <c r="D58" s="1" t="s">
        <v>81</v>
      </c>
      <c r="E58" s="2">
        <v>0</v>
      </c>
      <c r="F58" s="1"/>
      <c r="G58" s="1" t="s">
        <v>341</v>
      </c>
      <c r="H58" s="2">
        <v>692</v>
      </c>
      <c r="I58" s="2">
        <v>0</v>
      </c>
      <c r="J58" s="1" t="s">
        <v>342</v>
      </c>
      <c r="K58" s="1" t="s">
        <v>28</v>
      </c>
      <c r="L58" s="1" t="s">
        <v>51</v>
      </c>
      <c r="M58" s="1" t="s">
        <v>28</v>
      </c>
      <c r="N58" s="1" t="s">
        <v>146</v>
      </c>
      <c r="O58" s="1" t="s">
        <v>152</v>
      </c>
      <c r="P58" s="1" t="s">
        <v>45</v>
      </c>
      <c r="Q58" s="1" t="s">
        <v>146</v>
      </c>
      <c r="R58" s="1" t="s">
        <v>343</v>
      </c>
      <c r="S58" s="1" t="s">
        <v>71</v>
      </c>
      <c r="T58" s="3" t="str">
        <f>Sheet4!H58</f>
        <v xml:space="preserve"> View Map </v>
      </c>
    </row>
    <row r="59" spans="1:20" ht="15" x14ac:dyDescent="0.25">
      <c r="A59" s="1" t="s">
        <v>344</v>
      </c>
      <c r="B59" s="1" t="s">
        <v>345</v>
      </c>
      <c r="C59" s="2">
        <v>2005</v>
      </c>
      <c r="D59" s="1" t="s">
        <v>24</v>
      </c>
      <c r="E59" s="2">
        <v>0</v>
      </c>
      <c r="F59" s="1"/>
      <c r="G59" s="1" t="s">
        <v>346</v>
      </c>
      <c r="H59" s="2">
        <v>100</v>
      </c>
      <c r="I59" s="2">
        <v>180000</v>
      </c>
      <c r="J59" s="1" t="s">
        <v>347</v>
      </c>
      <c r="K59" s="1" t="s">
        <v>28</v>
      </c>
      <c r="L59" s="1" t="s">
        <v>68</v>
      </c>
      <c r="M59" s="1" t="s">
        <v>69</v>
      </c>
      <c r="N59" s="1" t="s">
        <v>275</v>
      </c>
      <c r="O59" s="1" t="s">
        <v>297</v>
      </c>
      <c r="P59" s="1" t="s">
        <v>275</v>
      </c>
      <c r="Q59" s="1" t="s">
        <v>276</v>
      </c>
      <c r="R59" s="1" t="s">
        <v>275</v>
      </c>
      <c r="S59" s="1" t="s">
        <v>71</v>
      </c>
      <c r="T59" s="3" t="str">
        <f>Sheet4!H59</f>
        <v xml:space="preserve"> View Map </v>
      </c>
    </row>
    <row r="60" spans="1:20" ht="15" x14ac:dyDescent="0.25">
      <c r="A60" s="1" t="s">
        <v>349</v>
      </c>
      <c r="B60" s="1" t="s">
        <v>350</v>
      </c>
      <c r="C60" s="2">
        <v>2024</v>
      </c>
      <c r="D60" s="1" t="s">
        <v>24</v>
      </c>
      <c r="E60" s="2">
        <v>1</v>
      </c>
      <c r="F60" s="1" t="s">
        <v>351</v>
      </c>
      <c r="G60" s="1" t="s">
        <v>352</v>
      </c>
      <c r="H60" s="2">
        <v>0</v>
      </c>
      <c r="I60" s="2">
        <v>28000</v>
      </c>
      <c r="J60" s="1" t="s">
        <v>353</v>
      </c>
      <c r="K60" s="2">
        <v>34000</v>
      </c>
      <c r="L60" s="1" t="s">
        <v>68</v>
      </c>
      <c r="M60" s="1" t="s">
        <v>69</v>
      </c>
      <c r="N60" s="1" t="s">
        <v>275</v>
      </c>
      <c r="O60" s="1" t="s">
        <v>354</v>
      </c>
      <c r="P60" s="1" t="s">
        <v>275</v>
      </c>
      <c r="Q60" s="1" t="s">
        <v>348</v>
      </c>
      <c r="R60" s="1" t="s">
        <v>275</v>
      </c>
      <c r="S60" s="1" t="s">
        <v>71</v>
      </c>
      <c r="T60" s="3" t="str">
        <f>Sheet4!H60</f>
        <v xml:space="preserve"> View Map </v>
      </c>
    </row>
    <row r="61" spans="1:20" ht="15" x14ac:dyDescent="0.25">
      <c r="A61" s="1" t="s">
        <v>356</v>
      </c>
      <c r="B61" s="1" t="s">
        <v>357</v>
      </c>
      <c r="C61" s="2">
        <v>2005</v>
      </c>
      <c r="D61" s="1" t="s">
        <v>24</v>
      </c>
      <c r="E61" s="2">
        <v>1</v>
      </c>
      <c r="F61" s="1" t="s">
        <v>358</v>
      </c>
      <c r="G61" s="1"/>
      <c r="H61" s="2">
        <v>0</v>
      </c>
      <c r="I61" s="2">
        <v>35000</v>
      </c>
      <c r="J61" s="1" t="s">
        <v>359</v>
      </c>
      <c r="K61" s="2">
        <v>35000</v>
      </c>
      <c r="L61" s="1" t="s">
        <v>68</v>
      </c>
      <c r="M61" s="1" t="s">
        <v>69</v>
      </c>
      <c r="N61" s="1" t="s">
        <v>162</v>
      </c>
      <c r="O61" s="1" t="s">
        <v>360</v>
      </c>
      <c r="P61" s="1" t="s">
        <v>162</v>
      </c>
      <c r="Q61" s="1" t="s">
        <v>355</v>
      </c>
      <c r="R61" s="1" t="s">
        <v>162</v>
      </c>
      <c r="S61" s="1" t="s">
        <v>32</v>
      </c>
      <c r="T61" s="3" t="str">
        <f>Sheet4!H61</f>
        <v xml:space="preserve"> View Map </v>
      </c>
    </row>
    <row r="62" spans="1:20" ht="15" x14ac:dyDescent="0.25">
      <c r="A62" s="1" t="s">
        <v>361</v>
      </c>
      <c r="B62" s="1" t="s">
        <v>362</v>
      </c>
      <c r="C62" s="2">
        <v>2005</v>
      </c>
      <c r="D62" s="1" t="s">
        <v>24</v>
      </c>
      <c r="E62" s="2">
        <v>1</v>
      </c>
      <c r="F62" s="1" t="s">
        <v>363</v>
      </c>
      <c r="G62" s="1"/>
      <c r="H62" s="2">
        <v>0</v>
      </c>
      <c r="I62" s="2">
        <v>32000</v>
      </c>
      <c r="J62" s="1" t="s">
        <v>364</v>
      </c>
      <c r="K62" s="2">
        <v>32000</v>
      </c>
      <c r="L62" s="1" t="s">
        <v>68</v>
      </c>
      <c r="M62" s="1" t="s">
        <v>69</v>
      </c>
      <c r="N62" s="1" t="s">
        <v>162</v>
      </c>
      <c r="O62" s="1" t="s">
        <v>365</v>
      </c>
      <c r="P62" s="1" t="s">
        <v>162</v>
      </c>
      <c r="Q62" s="1" t="s">
        <v>311</v>
      </c>
      <c r="R62" s="1" t="s">
        <v>162</v>
      </c>
      <c r="S62" s="1" t="s">
        <v>32</v>
      </c>
      <c r="T62" s="3" t="str">
        <f>Sheet4!H62</f>
        <v xml:space="preserve"> View Map </v>
      </c>
    </row>
    <row r="63" spans="1:20" ht="15" x14ac:dyDescent="0.25">
      <c r="A63" s="1" t="s">
        <v>366</v>
      </c>
      <c r="B63" s="1" t="s">
        <v>367</v>
      </c>
      <c r="C63" s="2">
        <v>2021</v>
      </c>
      <c r="D63" s="1" t="s">
        <v>24</v>
      </c>
      <c r="E63" s="2">
        <v>0</v>
      </c>
      <c r="F63" s="1" t="s">
        <v>368</v>
      </c>
      <c r="G63" s="1"/>
      <c r="H63" s="2">
        <v>0</v>
      </c>
      <c r="I63" s="2">
        <v>29000</v>
      </c>
      <c r="J63" s="1" t="s">
        <v>369</v>
      </c>
      <c r="K63" s="2">
        <v>29000</v>
      </c>
      <c r="L63" s="1" t="s">
        <v>29</v>
      </c>
      <c r="M63" s="1" t="s">
        <v>134</v>
      </c>
      <c r="N63" s="1" t="s">
        <v>160</v>
      </c>
      <c r="O63" s="1" t="s">
        <v>199</v>
      </c>
      <c r="P63" s="1" t="s">
        <v>153</v>
      </c>
      <c r="Q63" s="1" t="s">
        <v>193</v>
      </c>
      <c r="R63" s="1" t="s">
        <v>370</v>
      </c>
      <c r="S63" s="1" t="s">
        <v>32</v>
      </c>
      <c r="T63" s="3" t="str">
        <f>Sheet4!H63</f>
        <v xml:space="preserve"> View Map </v>
      </c>
    </row>
    <row r="64" spans="1:20" ht="15" x14ac:dyDescent="0.25">
      <c r="A64" s="1" t="s">
        <v>371</v>
      </c>
      <c r="B64" s="1" t="s">
        <v>372</v>
      </c>
      <c r="C64" s="2">
        <v>2005</v>
      </c>
      <c r="D64" s="1" t="s">
        <v>24</v>
      </c>
      <c r="E64" s="2">
        <v>1</v>
      </c>
      <c r="F64" s="1"/>
      <c r="G64" s="1"/>
      <c r="H64" s="2">
        <v>0</v>
      </c>
      <c r="I64" s="2">
        <v>14500</v>
      </c>
      <c r="J64" s="1" t="s">
        <v>373</v>
      </c>
      <c r="K64" s="2">
        <v>14500</v>
      </c>
      <c r="L64" s="1" t="s">
        <v>68</v>
      </c>
      <c r="M64" s="1" t="s">
        <v>69</v>
      </c>
      <c r="N64" s="1" t="s">
        <v>162</v>
      </c>
      <c r="O64" s="1" t="s">
        <v>374</v>
      </c>
      <c r="P64" s="1" t="s">
        <v>162</v>
      </c>
      <c r="Q64" s="1" t="s">
        <v>162</v>
      </c>
      <c r="R64" s="1" t="s">
        <v>162</v>
      </c>
      <c r="S64" s="1" t="s">
        <v>32</v>
      </c>
      <c r="T64" s="3" t="str">
        <f>Sheet4!H64</f>
        <v xml:space="preserve"> View Map </v>
      </c>
    </row>
    <row r="65" spans="1:20" ht="15" x14ac:dyDescent="0.25">
      <c r="A65" s="1" t="s">
        <v>375</v>
      </c>
      <c r="B65" s="1" t="s">
        <v>376</v>
      </c>
      <c r="C65" s="2">
        <v>2005</v>
      </c>
      <c r="D65" s="1" t="s">
        <v>24</v>
      </c>
      <c r="E65" s="2">
        <v>1</v>
      </c>
      <c r="F65" s="1"/>
      <c r="G65" s="1"/>
      <c r="H65" s="2">
        <v>0</v>
      </c>
      <c r="I65" s="2">
        <v>36000</v>
      </c>
      <c r="J65" s="1" t="s">
        <v>377</v>
      </c>
      <c r="K65" s="2">
        <v>36000</v>
      </c>
      <c r="L65" s="1" t="s">
        <v>68</v>
      </c>
      <c r="M65" s="1" t="s">
        <v>69</v>
      </c>
      <c r="N65" s="1" t="s">
        <v>162</v>
      </c>
      <c r="O65" s="1" t="s">
        <v>167</v>
      </c>
      <c r="P65" s="1" t="s">
        <v>162</v>
      </c>
      <c r="Q65" s="1" t="s">
        <v>311</v>
      </c>
      <c r="R65" s="1" t="s">
        <v>162</v>
      </c>
      <c r="S65" s="1" t="s">
        <v>32</v>
      </c>
      <c r="T65" s="3" t="str">
        <f>Sheet4!H65</f>
        <v xml:space="preserve"> View Map </v>
      </c>
    </row>
    <row r="66" spans="1:20" ht="15" x14ac:dyDescent="0.25">
      <c r="A66" s="1" t="s">
        <v>378</v>
      </c>
      <c r="B66" s="1" t="s">
        <v>379</v>
      </c>
      <c r="C66" s="2">
        <v>2021</v>
      </c>
      <c r="D66" s="1" t="s">
        <v>24</v>
      </c>
      <c r="E66" s="2">
        <v>1</v>
      </c>
      <c r="F66" s="1" t="s">
        <v>380</v>
      </c>
      <c r="G66" s="1"/>
      <c r="H66" s="2">
        <v>0</v>
      </c>
      <c r="I66" s="2">
        <v>31000</v>
      </c>
      <c r="J66" s="1" t="s">
        <v>381</v>
      </c>
      <c r="K66" s="1" t="s">
        <v>28</v>
      </c>
      <c r="L66" s="1" t="s">
        <v>68</v>
      </c>
      <c r="M66" s="1" t="s">
        <v>69</v>
      </c>
      <c r="N66" s="1" t="s">
        <v>162</v>
      </c>
      <c r="O66" s="1" t="s">
        <v>167</v>
      </c>
      <c r="P66" s="1" t="s">
        <v>162</v>
      </c>
      <c r="Q66" s="1" t="s">
        <v>311</v>
      </c>
      <c r="R66" s="1" t="s">
        <v>162</v>
      </c>
      <c r="S66" s="1" t="s">
        <v>32</v>
      </c>
      <c r="T66" s="3" t="str">
        <f>Sheet4!H66</f>
        <v xml:space="preserve"> View Map </v>
      </c>
    </row>
    <row r="67" spans="1:20" ht="15" x14ac:dyDescent="0.25">
      <c r="A67" s="1" t="s">
        <v>382</v>
      </c>
      <c r="B67" s="1" t="s">
        <v>383</v>
      </c>
      <c r="C67" s="2">
        <v>1894</v>
      </c>
      <c r="D67" s="1" t="s">
        <v>24</v>
      </c>
      <c r="E67" s="2">
        <v>1</v>
      </c>
      <c r="F67" s="1" t="s">
        <v>384</v>
      </c>
      <c r="G67" s="1"/>
      <c r="H67" s="2">
        <v>1700</v>
      </c>
      <c r="I67" s="2">
        <v>34000</v>
      </c>
      <c r="J67" s="1" t="s">
        <v>385</v>
      </c>
      <c r="K67" s="2">
        <v>34000</v>
      </c>
      <c r="L67" s="1" t="s">
        <v>68</v>
      </c>
      <c r="M67" s="1" t="s">
        <v>69</v>
      </c>
      <c r="N67" s="1" t="s">
        <v>53</v>
      </c>
      <c r="O67" s="1" t="s">
        <v>127</v>
      </c>
      <c r="P67" s="1" t="s">
        <v>45</v>
      </c>
      <c r="Q67" s="1" t="s">
        <v>28</v>
      </c>
      <c r="R67" s="1" t="s">
        <v>128</v>
      </c>
      <c r="S67" s="1" t="s">
        <v>32</v>
      </c>
      <c r="T67" s="3" t="str">
        <f>Sheet4!H67</f>
        <v xml:space="preserve"> View Map </v>
      </c>
    </row>
    <row r="68" spans="1:20" ht="15" x14ac:dyDescent="0.25">
      <c r="A68" s="1" t="s">
        <v>387</v>
      </c>
      <c r="B68" s="1" t="s">
        <v>388</v>
      </c>
      <c r="C68" s="2">
        <v>2024</v>
      </c>
      <c r="D68" s="1" t="s">
        <v>24</v>
      </c>
      <c r="E68" s="2">
        <v>1</v>
      </c>
      <c r="F68" s="1" t="s">
        <v>389</v>
      </c>
      <c r="G68" s="1"/>
      <c r="H68" s="2">
        <v>20</v>
      </c>
      <c r="I68" s="2">
        <v>72500</v>
      </c>
      <c r="J68" s="1" t="s">
        <v>390</v>
      </c>
      <c r="K68" s="2">
        <v>72500</v>
      </c>
      <c r="L68" s="1" t="s">
        <v>68</v>
      </c>
      <c r="M68" s="1" t="s">
        <v>69</v>
      </c>
      <c r="N68" s="1" t="s">
        <v>275</v>
      </c>
      <c r="O68" s="1" t="s">
        <v>391</v>
      </c>
      <c r="P68" s="1" t="s">
        <v>304</v>
      </c>
      <c r="Q68" s="1" t="s">
        <v>386</v>
      </c>
      <c r="R68" s="1" t="s">
        <v>275</v>
      </c>
      <c r="S68" s="1" t="s">
        <v>71</v>
      </c>
      <c r="T68" s="3" t="str">
        <f>Sheet4!H68</f>
        <v xml:space="preserve"> View Map </v>
      </c>
    </row>
    <row r="69" spans="1:20" ht="15" x14ac:dyDescent="0.25">
      <c r="A69" s="1" t="s">
        <v>392</v>
      </c>
      <c r="B69" s="1" t="s">
        <v>393</v>
      </c>
      <c r="C69" s="2">
        <v>2022</v>
      </c>
      <c r="D69" s="1" t="s">
        <v>24</v>
      </c>
      <c r="E69" s="2">
        <v>1</v>
      </c>
      <c r="F69" s="1" t="s">
        <v>394</v>
      </c>
      <c r="G69" s="1"/>
      <c r="H69" s="2">
        <v>0</v>
      </c>
      <c r="I69" s="2">
        <v>29000</v>
      </c>
      <c r="J69" s="1" t="s">
        <v>395</v>
      </c>
      <c r="K69" s="2">
        <v>29000</v>
      </c>
      <c r="L69" s="1" t="s">
        <v>51</v>
      </c>
      <c r="M69" s="1" t="s">
        <v>52</v>
      </c>
      <c r="N69" s="1" t="s">
        <v>20</v>
      </c>
      <c r="O69" s="1" t="s">
        <v>70</v>
      </c>
      <c r="P69" s="1" t="s">
        <v>45</v>
      </c>
      <c r="Q69" s="1" t="s">
        <v>46</v>
      </c>
      <c r="R69" s="1" t="s">
        <v>55</v>
      </c>
      <c r="S69" s="1" t="s">
        <v>71</v>
      </c>
      <c r="T69" s="3" t="str">
        <f>Sheet4!H69</f>
        <v xml:space="preserve"> View Map </v>
      </c>
    </row>
    <row r="70" spans="1:20" ht="15" x14ac:dyDescent="0.25">
      <c r="A70" s="1" t="s">
        <v>396</v>
      </c>
      <c r="B70" s="1" t="s">
        <v>397</v>
      </c>
      <c r="C70" s="2">
        <v>2021</v>
      </c>
      <c r="D70" s="1" t="s">
        <v>24</v>
      </c>
      <c r="E70" s="2">
        <v>1</v>
      </c>
      <c r="F70" s="1" t="s">
        <v>398</v>
      </c>
      <c r="G70" s="1" t="s">
        <v>399</v>
      </c>
      <c r="H70" s="2">
        <v>1400</v>
      </c>
      <c r="I70" s="2">
        <v>29000</v>
      </c>
      <c r="J70" s="1" t="s">
        <v>400</v>
      </c>
      <c r="K70" s="1" t="s">
        <v>28</v>
      </c>
      <c r="L70" s="1" t="s">
        <v>51</v>
      </c>
      <c r="M70" s="1" t="s">
        <v>52</v>
      </c>
      <c r="N70" s="1" t="s">
        <v>53</v>
      </c>
      <c r="O70" s="1" t="s">
        <v>401</v>
      </c>
      <c r="P70" s="1" t="s">
        <v>45</v>
      </c>
      <c r="Q70" s="1" t="s">
        <v>45</v>
      </c>
      <c r="R70" s="1" t="s">
        <v>55</v>
      </c>
      <c r="S70" s="1" t="s">
        <v>71</v>
      </c>
      <c r="T70" s="3" t="str">
        <f>Sheet4!H70</f>
        <v xml:space="preserve"> View Map </v>
      </c>
    </row>
    <row r="71" spans="1:20" ht="15" x14ac:dyDescent="0.25">
      <c r="A71" s="1" t="s">
        <v>403</v>
      </c>
      <c r="B71" s="1" t="s">
        <v>404</v>
      </c>
      <c r="C71" s="2">
        <v>2025</v>
      </c>
      <c r="D71" s="1" t="s">
        <v>24</v>
      </c>
      <c r="E71" s="2">
        <v>1</v>
      </c>
      <c r="F71" s="1" t="s">
        <v>405</v>
      </c>
      <c r="G71" s="1" t="s">
        <v>405</v>
      </c>
      <c r="H71" s="2">
        <v>500</v>
      </c>
      <c r="I71" s="2">
        <v>36000</v>
      </c>
      <c r="J71" s="1" t="s">
        <v>406</v>
      </c>
      <c r="K71" s="2">
        <v>46000</v>
      </c>
      <c r="L71" s="1" t="s">
        <v>68</v>
      </c>
      <c r="M71" s="1" t="s">
        <v>69</v>
      </c>
      <c r="N71" s="1" t="s">
        <v>275</v>
      </c>
      <c r="O71" s="1" t="s">
        <v>407</v>
      </c>
      <c r="P71" s="1" t="s">
        <v>275</v>
      </c>
      <c r="Q71" s="1" t="s">
        <v>402</v>
      </c>
      <c r="R71" s="1" t="s">
        <v>275</v>
      </c>
      <c r="S71" s="1" t="s">
        <v>71</v>
      </c>
      <c r="T71" s="3" t="str">
        <f>Sheet4!H71</f>
        <v xml:space="preserve"> View Map </v>
      </c>
    </row>
    <row r="72" spans="1:20" ht="15" x14ac:dyDescent="0.25">
      <c r="A72" s="1" t="s">
        <v>408</v>
      </c>
      <c r="B72" s="1" t="s">
        <v>409</v>
      </c>
      <c r="C72" s="2">
        <v>2005</v>
      </c>
      <c r="D72" s="1" t="s">
        <v>28</v>
      </c>
      <c r="E72" s="2">
        <v>0</v>
      </c>
      <c r="F72" s="1" t="s">
        <v>28</v>
      </c>
      <c r="G72" s="1" t="s">
        <v>28</v>
      </c>
      <c r="H72" s="1" t="s">
        <v>28</v>
      </c>
      <c r="I72" s="1" t="s">
        <v>28</v>
      </c>
      <c r="J72" s="1"/>
      <c r="K72" s="1" t="s">
        <v>28</v>
      </c>
      <c r="L72" s="1" t="s">
        <v>51</v>
      </c>
      <c r="M72" s="1" t="s">
        <v>28</v>
      </c>
      <c r="N72" s="1" t="s">
        <v>146</v>
      </c>
      <c r="O72" s="1" t="s">
        <v>28</v>
      </c>
      <c r="P72" s="1" t="s">
        <v>45</v>
      </c>
      <c r="Q72" s="1" t="s">
        <v>28</v>
      </c>
      <c r="R72" s="1" t="s">
        <v>343</v>
      </c>
      <c r="S72" s="1" t="s">
        <v>71</v>
      </c>
      <c r="T72" s="3" t="str">
        <f>Sheet4!H72</f>
        <v xml:space="preserve"> View Map </v>
      </c>
    </row>
    <row r="73" spans="1:20" ht="15" x14ac:dyDescent="0.25">
      <c r="A73" s="1" t="s">
        <v>410</v>
      </c>
      <c r="B73" s="1" t="s">
        <v>411</v>
      </c>
      <c r="C73" s="2">
        <v>2018</v>
      </c>
      <c r="D73" s="1" t="s">
        <v>24</v>
      </c>
      <c r="E73" s="2">
        <v>1</v>
      </c>
      <c r="F73" s="1" t="s">
        <v>412</v>
      </c>
      <c r="G73" s="1" t="s">
        <v>413</v>
      </c>
      <c r="H73" s="2">
        <v>3500</v>
      </c>
      <c r="I73" s="2">
        <v>35000</v>
      </c>
      <c r="J73" s="1" t="s">
        <v>414</v>
      </c>
      <c r="K73" s="2">
        <v>35000</v>
      </c>
      <c r="L73" s="1" t="s">
        <v>51</v>
      </c>
      <c r="M73" s="1" t="s">
        <v>52</v>
      </c>
      <c r="N73" s="1" t="s">
        <v>53</v>
      </c>
      <c r="O73" s="1" t="s">
        <v>84</v>
      </c>
      <c r="P73" s="1" t="s">
        <v>45</v>
      </c>
      <c r="Q73" s="1" t="s">
        <v>53</v>
      </c>
      <c r="R73" s="1" t="s">
        <v>55</v>
      </c>
      <c r="S73" s="1" t="s">
        <v>71</v>
      </c>
      <c r="T73" s="3" t="str">
        <f>Sheet4!H73</f>
        <v xml:space="preserve"> View Map </v>
      </c>
    </row>
    <row r="74" spans="1:20" ht="15" x14ac:dyDescent="0.25">
      <c r="A74" s="1" t="s">
        <v>415</v>
      </c>
      <c r="B74" s="1" t="s">
        <v>416</v>
      </c>
      <c r="C74" s="2">
        <v>2025</v>
      </c>
      <c r="D74" s="1" t="s">
        <v>24</v>
      </c>
      <c r="E74" s="2">
        <v>1</v>
      </c>
      <c r="F74" s="1" t="s">
        <v>417</v>
      </c>
      <c r="G74" s="1"/>
      <c r="H74" s="2">
        <v>1450</v>
      </c>
      <c r="I74" s="2">
        <v>50000</v>
      </c>
      <c r="J74" s="1" t="s">
        <v>418</v>
      </c>
      <c r="K74" s="2">
        <v>50000</v>
      </c>
      <c r="L74" s="1" t="s">
        <v>29</v>
      </c>
      <c r="M74" s="1" t="s">
        <v>134</v>
      </c>
      <c r="N74" s="1" t="s">
        <v>20</v>
      </c>
      <c r="O74" s="1" t="s">
        <v>135</v>
      </c>
      <c r="P74" s="1" t="s">
        <v>20</v>
      </c>
      <c r="Q74" s="1" t="s">
        <v>129</v>
      </c>
      <c r="R74" s="1" t="s">
        <v>419</v>
      </c>
      <c r="S74" s="1" t="s">
        <v>71</v>
      </c>
      <c r="T74" s="3" t="str">
        <f>Sheet4!H74</f>
        <v xml:space="preserve"> View Map </v>
      </c>
    </row>
    <row r="75" spans="1:20" ht="15" x14ac:dyDescent="0.25">
      <c r="A75" s="1" t="s">
        <v>420</v>
      </c>
      <c r="B75" s="1" t="s">
        <v>421</v>
      </c>
      <c r="C75" s="2">
        <v>2005</v>
      </c>
      <c r="D75" s="1" t="s">
        <v>24</v>
      </c>
      <c r="E75" s="2">
        <v>1</v>
      </c>
      <c r="F75" s="1" t="s">
        <v>422</v>
      </c>
      <c r="G75" s="1"/>
      <c r="H75" s="2">
        <v>0</v>
      </c>
      <c r="I75" s="2">
        <v>40000</v>
      </c>
      <c r="J75" s="1" t="s">
        <v>423</v>
      </c>
      <c r="K75" s="2">
        <v>40000</v>
      </c>
      <c r="L75" s="1" t="s">
        <v>68</v>
      </c>
      <c r="M75" s="1" t="s">
        <v>69</v>
      </c>
      <c r="N75" s="1" t="s">
        <v>275</v>
      </c>
      <c r="O75" s="1" t="s">
        <v>354</v>
      </c>
      <c r="P75" s="1" t="s">
        <v>275</v>
      </c>
      <c r="Q75" s="1" t="s">
        <v>348</v>
      </c>
      <c r="R75" s="1" t="s">
        <v>275</v>
      </c>
      <c r="S75" s="1" t="s">
        <v>71</v>
      </c>
      <c r="T75" s="3" t="str">
        <f>Sheet4!H75</f>
        <v xml:space="preserve"> View Map </v>
      </c>
    </row>
    <row r="76" spans="1:20" ht="15" x14ac:dyDescent="0.25">
      <c r="A76" s="1" t="s">
        <v>424</v>
      </c>
      <c r="B76" s="1" t="s">
        <v>425</v>
      </c>
      <c r="C76" s="2">
        <v>1940</v>
      </c>
      <c r="D76" s="1" t="s">
        <v>24</v>
      </c>
      <c r="E76" s="2">
        <v>0</v>
      </c>
      <c r="F76" s="1"/>
      <c r="G76" s="1" t="s">
        <v>426</v>
      </c>
      <c r="H76" s="2">
        <v>4500</v>
      </c>
      <c r="I76" s="2">
        <v>10900</v>
      </c>
      <c r="J76" s="1" t="s">
        <v>427</v>
      </c>
      <c r="K76" s="1" t="s">
        <v>28</v>
      </c>
      <c r="L76" s="1" t="s">
        <v>29</v>
      </c>
      <c r="M76" s="1" t="s">
        <v>30</v>
      </c>
      <c r="N76" s="1" t="s">
        <v>20</v>
      </c>
      <c r="O76" s="1" t="s">
        <v>31</v>
      </c>
      <c r="P76" s="1" t="s">
        <v>20</v>
      </c>
      <c r="Q76" s="1" t="s">
        <v>33</v>
      </c>
      <c r="R76" s="1" t="s">
        <v>38</v>
      </c>
      <c r="S76" s="1" t="s">
        <v>32</v>
      </c>
      <c r="T76" s="3" t="str">
        <f>Sheet4!H76</f>
        <v xml:space="preserve"> View Map </v>
      </c>
    </row>
    <row r="77" spans="1:20" ht="15" x14ac:dyDescent="0.25">
      <c r="A77" s="1" t="s">
        <v>428</v>
      </c>
      <c r="B77" s="1" t="s">
        <v>429</v>
      </c>
      <c r="C77" s="2">
        <v>2005</v>
      </c>
      <c r="D77" s="1" t="s">
        <v>24</v>
      </c>
      <c r="E77" s="2">
        <v>0</v>
      </c>
      <c r="F77" s="1"/>
      <c r="G77" s="1"/>
      <c r="H77" s="2">
        <v>0</v>
      </c>
      <c r="I77" s="2">
        <v>0</v>
      </c>
      <c r="J77" s="1" t="s">
        <v>430</v>
      </c>
      <c r="K77" s="1" t="s">
        <v>28</v>
      </c>
      <c r="L77" s="1" t="s">
        <v>51</v>
      </c>
      <c r="M77" s="1" t="s">
        <v>52</v>
      </c>
      <c r="N77" s="1" t="s">
        <v>53</v>
      </c>
      <c r="O77" s="1" t="s">
        <v>62</v>
      </c>
      <c r="P77" s="1" t="s">
        <v>45</v>
      </c>
      <c r="Q77" s="1" t="s">
        <v>46</v>
      </c>
      <c r="R77" s="1" t="s">
        <v>431</v>
      </c>
      <c r="S77" s="1" t="s">
        <v>56</v>
      </c>
      <c r="T77" s="3" t="str">
        <f>Sheet4!H77</f>
        <v xml:space="preserve"> View Map </v>
      </c>
    </row>
    <row r="78" spans="1:20" ht="15" x14ac:dyDescent="0.25">
      <c r="A78" s="1" t="s">
        <v>433</v>
      </c>
      <c r="B78" s="1" t="s">
        <v>434</v>
      </c>
      <c r="C78" s="2">
        <v>2005</v>
      </c>
      <c r="D78" s="1" t="s">
        <v>24</v>
      </c>
      <c r="E78" s="2">
        <v>1</v>
      </c>
      <c r="F78" s="1" t="s">
        <v>435</v>
      </c>
      <c r="G78" s="1"/>
      <c r="H78" s="2">
        <v>0</v>
      </c>
      <c r="I78" s="2">
        <v>62500</v>
      </c>
      <c r="J78" s="1" t="s">
        <v>436</v>
      </c>
      <c r="K78" s="2">
        <v>62500</v>
      </c>
      <c r="L78" s="1" t="s">
        <v>68</v>
      </c>
      <c r="M78" s="1" t="s">
        <v>69</v>
      </c>
      <c r="N78" s="1" t="s">
        <v>309</v>
      </c>
      <c r="O78" s="1" t="s">
        <v>437</v>
      </c>
      <c r="P78" s="1" t="s">
        <v>304</v>
      </c>
      <c r="Q78" s="1" t="s">
        <v>432</v>
      </c>
      <c r="R78" s="1" t="s">
        <v>309</v>
      </c>
      <c r="S78" s="1" t="s">
        <v>32</v>
      </c>
      <c r="T78" s="3" t="str">
        <f>Sheet4!H78</f>
        <v xml:space="preserve"> View Map </v>
      </c>
    </row>
    <row r="79" spans="1:20" ht="15" x14ac:dyDescent="0.25">
      <c r="A79" s="1" t="s">
        <v>438</v>
      </c>
      <c r="B79" s="1" t="s">
        <v>439</v>
      </c>
      <c r="C79" s="2">
        <v>2024</v>
      </c>
      <c r="D79" s="1" t="s">
        <v>24</v>
      </c>
      <c r="E79" s="2">
        <v>1</v>
      </c>
      <c r="F79" s="1" t="s">
        <v>440</v>
      </c>
      <c r="G79" s="1" t="s">
        <v>440</v>
      </c>
      <c r="H79" s="2">
        <v>800</v>
      </c>
      <c r="I79" s="2">
        <v>85000</v>
      </c>
      <c r="J79" s="1" t="s">
        <v>441</v>
      </c>
      <c r="K79" s="2">
        <v>85000</v>
      </c>
      <c r="L79" s="1" t="s">
        <v>51</v>
      </c>
      <c r="M79" s="1" t="s">
        <v>52</v>
      </c>
      <c r="N79" s="1" t="s">
        <v>53</v>
      </c>
      <c r="O79" s="1" t="s">
        <v>442</v>
      </c>
      <c r="P79" s="1" t="s">
        <v>45</v>
      </c>
      <c r="Q79" s="1" t="s">
        <v>146</v>
      </c>
      <c r="R79" s="1" t="s">
        <v>443</v>
      </c>
      <c r="S79" s="1" t="s">
        <v>71</v>
      </c>
      <c r="T79" s="3" t="str">
        <f>Sheet4!H79</f>
        <v xml:space="preserve"> View Map </v>
      </c>
    </row>
    <row r="80" spans="1:20" ht="15" x14ac:dyDescent="0.25">
      <c r="A80" s="1" t="s">
        <v>444</v>
      </c>
      <c r="B80" s="1" t="s">
        <v>445</v>
      </c>
      <c r="C80" s="2">
        <v>2005</v>
      </c>
      <c r="D80" s="1" t="s">
        <v>24</v>
      </c>
      <c r="E80" s="2">
        <v>0</v>
      </c>
      <c r="F80" s="1"/>
      <c r="G80" s="1"/>
      <c r="H80" s="2">
        <v>0</v>
      </c>
      <c r="I80" s="2">
        <v>0</v>
      </c>
      <c r="J80" s="1" t="s">
        <v>446</v>
      </c>
      <c r="K80" s="1" t="s">
        <v>28</v>
      </c>
      <c r="L80" s="1" t="s">
        <v>51</v>
      </c>
      <c r="M80" s="1" t="s">
        <v>52</v>
      </c>
      <c r="N80" s="1" t="s">
        <v>53</v>
      </c>
      <c r="O80" s="1" t="s">
        <v>28</v>
      </c>
      <c r="P80" s="1" t="s">
        <v>45</v>
      </c>
      <c r="Q80" s="1" t="s">
        <v>28</v>
      </c>
      <c r="R80" s="1" t="s">
        <v>443</v>
      </c>
      <c r="S80" s="1" t="s">
        <v>56</v>
      </c>
      <c r="T80" s="3" t="str">
        <f>Sheet4!H80</f>
        <v xml:space="preserve"> View Map </v>
      </c>
    </row>
    <row r="81" spans="1:20" ht="15" x14ac:dyDescent="0.25">
      <c r="A81" s="1" t="s">
        <v>447</v>
      </c>
      <c r="B81" s="1" t="s">
        <v>448</v>
      </c>
      <c r="C81" s="2">
        <v>2022</v>
      </c>
      <c r="D81" s="1" t="s">
        <v>24</v>
      </c>
      <c r="E81" s="2">
        <v>1</v>
      </c>
      <c r="F81" s="1" t="s">
        <v>449</v>
      </c>
      <c r="G81" s="1"/>
      <c r="H81" s="2">
        <v>0</v>
      </c>
      <c r="I81" s="2">
        <v>50000</v>
      </c>
      <c r="J81" s="1" t="s">
        <v>450</v>
      </c>
      <c r="K81" s="2">
        <v>50000</v>
      </c>
      <c r="L81" s="1" t="s">
        <v>51</v>
      </c>
      <c r="M81" s="1" t="s">
        <v>52</v>
      </c>
      <c r="N81" s="1" t="s">
        <v>53</v>
      </c>
      <c r="O81" s="1" t="s">
        <v>412</v>
      </c>
      <c r="P81" s="1" t="s">
        <v>45</v>
      </c>
      <c r="Q81" s="1" t="s">
        <v>45</v>
      </c>
      <c r="R81" s="1" t="s">
        <v>55</v>
      </c>
      <c r="S81" s="1" t="s">
        <v>71</v>
      </c>
      <c r="T81" s="3" t="str">
        <f>Sheet4!H81</f>
        <v xml:space="preserve"> View Map </v>
      </c>
    </row>
    <row r="82" spans="1:20" ht="15" x14ac:dyDescent="0.25">
      <c r="A82" s="1" t="s">
        <v>451</v>
      </c>
      <c r="B82" s="1" t="s">
        <v>452</v>
      </c>
      <c r="C82" s="2">
        <v>2021</v>
      </c>
      <c r="D82" s="1" t="s">
        <v>24</v>
      </c>
      <c r="E82" s="2">
        <v>0</v>
      </c>
      <c r="F82" s="1" t="s">
        <v>453</v>
      </c>
      <c r="G82" s="1"/>
      <c r="H82" s="2">
        <v>3000</v>
      </c>
      <c r="I82" s="2">
        <v>15500</v>
      </c>
      <c r="J82" s="1" t="s">
        <v>454</v>
      </c>
      <c r="K82" s="1" t="s">
        <v>28</v>
      </c>
      <c r="L82" s="1" t="s">
        <v>51</v>
      </c>
      <c r="M82" s="1" t="s">
        <v>159</v>
      </c>
      <c r="N82" s="1" t="s">
        <v>160</v>
      </c>
      <c r="O82" s="1" t="s">
        <v>187</v>
      </c>
      <c r="P82" s="1" t="s">
        <v>153</v>
      </c>
      <c r="Q82" s="1" t="s">
        <v>184</v>
      </c>
      <c r="R82" s="1" t="s">
        <v>188</v>
      </c>
      <c r="S82" s="1" t="s">
        <v>32</v>
      </c>
      <c r="T82" s="3" t="str">
        <f>Sheet4!H82</f>
        <v xml:space="preserve"> View Map </v>
      </c>
    </row>
    <row r="83" spans="1:20" ht="15" x14ac:dyDescent="0.25">
      <c r="A83" s="1" t="s">
        <v>455</v>
      </c>
      <c r="B83" s="1" t="s">
        <v>456</v>
      </c>
      <c r="C83" s="2">
        <v>2005</v>
      </c>
      <c r="D83" s="1" t="s">
        <v>24</v>
      </c>
      <c r="E83" s="2">
        <v>0</v>
      </c>
      <c r="F83" s="1" t="s">
        <v>457</v>
      </c>
      <c r="G83" s="1" t="s">
        <v>187</v>
      </c>
      <c r="H83" s="2">
        <v>0</v>
      </c>
      <c r="I83" s="2">
        <v>85000</v>
      </c>
      <c r="J83" s="1" t="s">
        <v>458</v>
      </c>
      <c r="K83" s="2">
        <v>85000</v>
      </c>
      <c r="L83" s="1" t="s">
        <v>29</v>
      </c>
      <c r="M83" s="1" t="s">
        <v>134</v>
      </c>
      <c r="N83" s="1" t="s">
        <v>160</v>
      </c>
      <c r="O83" s="1" t="s">
        <v>187</v>
      </c>
      <c r="P83" s="1" t="s">
        <v>153</v>
      </c>
      <c r="Q83" s="1" t="s">
        <v>184</v>
      </c>
      <c r="R83" s="1" t="s">
        <v>459</v>
      </c>
      <c r="S83" s="1" t="s">
        <v>32</v>
      </c>
      <c r="T83" s="3" t="str">
        <f>Sheet4!H83</f>
        <v xml:space="preserve"> View Map </v>
      </c>
    </row>
    <row r="84" spans="1:20" ht="15" x14ac:dyDescent="0.25">
      <c r="A84" s="1" t="s">
        <v>460</v>
      </c>
      <c r="B84" s="1" t="s">
        <v>461</v>
      </c>
      <c r="C84" s="2">
        <v>2005</v>
      </c>
      <c r="D84" s="1" t="s">
        <v>24</v>
      </c>
      <c r="E84" s="2">
        <v>1</v>
      </c>
      <c r="F84" s="1" t="s">
        <v>462</v>
      </c>
      <c r="G84" s="1"/>
      <c r="H84" s="2">
        <v>4000</v>
      </c>
      <c r="I84" s="2">
        <v>75000</v>
      </c>
      <c r="J84" s="1" t="s">
        <v>463</v>
      </c>
      <c r="K84" s="2">
        <v>75000</v>
      </c>
      <c r="L84" s="1" t="s">
        <v>29</v>
      </c>
      <c r="M84" s="1" t="s">
        <v>134</v>
      </c>
      <c r="N84" s="1" t="s">
        <v>160</v>
      </c>
      <c r="O84" s="1" t="s">
        <v>187</v>
      </c>
      <c r="P84" s="1" t="s">
        <v>153</v>
      </c>
      <c r="Q84" s="1" t="s">
        <v>153</v>
      </c>
      <c r="R84" s="1" t="s">
        <v>459</v>
      </c>
      <c r="S84" s="1" t="s">
        <v>32</v>
      </c>
      <c r="T84" s="3" t="str">
        <f>Sheet4!H84</f>
        <v xml:space="preserve"> View Map </v>
      </c>
    </row>
    <row r="85" spans="1:20" ht="15" x14ac:dyDescent="0.25">
      <c r="A85" s="1" t="s">
        <v>464</v>
      </c>
      <c r="B85" s="1" t="s">
        <v>465</v>
      </c>
      <c r="C85" s="2">
        <v>1931</v>
      </c>
      <c r="D85" s="1" t="s">
        <v>24</v>
      </c>
      <c r="E85" s="2">
        <v>1</v>
      </c>
      <c r="F85" s="1"/>
      <c r="G85" s="1" t="s">
        <v>466</v>
      </c>
      <c r="H85" s="2">
        <v>4800</v>
      </c>
      <c r="I85" s="2">
        <v>35000</v>
      </c>
      <c r="J85" s="1" t="s">
        <v>467</v>
      </c>
      <c r="K85" s="2">
        <v>35000</v>
      </c>
      <c r="L85" s="1" t="s">
        <v>29</v>
      </c>
      <c r="M85" s="1" t="s">
        <v>30</v>
      </c>
      <c r="N85" s="1" t="s">
        <v>20</v>
      </c>
      <c r="O85" s="1" t="s">
        <v>173</v>
      </c>
      <c r="P85" s="1" t="s">
        <v>20</v>
      </c>
      <c r="Q85" s="1" t="s">
        <v>179</v>
      </c>
      <c r="R85" s="1" t="s">
        <v>174</v>
      </c>
      <c r="S85" s="1" t="s">
        <v>32</v>
      </c>
      <c r="T85" s="3" t="str">
        <f>Sheet4!H85</f>
        <v xml:space="preserve"> View Map </v>
      </c>
    </row>
    <row r="86" spans="1:20" ht="15" x14ac:dyDescent="0.25">
      <c r="A86" s="1" t="s">
        <v>468</v>
      </c>
      <c r="B86" s="1" t="s">
        <v>469</v>
      </c>
      <c r="C86" s="2">
        <v>2025</v>
      </c>
      <c r="D86" s="1" t="s">
        <v>24</v>
      </c>
      <c r="E86" s="2">
        <v>1</v>
      </c>
      <c r="F86" s="1" t="s">
        <v>470</v>
      </c>
      <c r="G86" s="1" t="s">
        <v>470</v>
      </c>
      <c r="H86" s="2">
        <v>2300</v>
      </c>
      <c r="I86" s="2">
        <v>27000</v>
      </c>
      <c r="J86" s="1" t="s">
        <v>471</v>
      </c>
      <c r="K86" s="2">
        <v>27000</v>
      </c>
      <c r="L86" s="1" t="s">
        <v>51</v>
      </c>
      <c r="M86" s="1" t="s">
        <v>52</v>
      </c>
      <c r="N86" s="1" t="s">
        <v>53</v>
      </c>
      <c r="O86" s="1" t="s">
        <v>412</v>
      </c>
      <c r="P86" s="1" t="s">
        <v>45</v>
      </c>
      <c r="Q86" s="1" t="s">
        <v>45</v>
      </c>
      <c r="R86" s="1" t="s">
        <v>55</v>
      </c>
      <c r="S86" s="1" t="s">
        <v>71</v>
      </c>
      <c r="T86" s="3" t="str">
        <f>Sheet4!H86</f>
        <v xml:space="preserve"> View Map </v>
      </c>
    </row>
    <row r="87" spans="1:20" ht="15" x14ac:dyDescent="0.25">
      <c r="A87" s="1" t="s">
        <v>472</v>
      </c>
      <c r="B87" s="1" t="s">
        <v>473</v>
      </c>
      <c r="C87" s="2">
        <v>2018</v>
      </c>
      <c r="D87" s="1" t="s">
        <v>24</v>
      </c>
      <c r="E87" s="2">
        <v>1</v>
      </c>
      <c r="F87" s="1" t="s">
        <v>474</v>
      </c>
      <c r="G87" s="1"/>
      <c r="H87" s="2">
        <v>0</v>
      </c>
      <c r="I87" s="2">
        <v>50000</v>
      </c>
      <c r="J87" s="1" t="s">
        <v>475</v>
      </c>
      <c r="K87" s="2">
        <v>50000</v>
      </c>
      <c r="L87" s="1" t="s">
        <v>29</v>
      </c>
      <c r="M87" s="1" t="s">
        <v>134</v>
      </c>
      <c r="N87" s="1" t="s">
        <v>160</v>
      </c>
      <c r="O87" s="1" t="s">
        <v>187</v>
      </c>
      <c r="P87" s="1" t="s">
        <v>153</v>
      </c>
      <c r="Q87" s="1" t="s">
        <v>184</v>
      </c>
      <c r="R87" s="1" t="s">
        <v>459</v>
      </c>
      <c r="S87" s="1" t="s">
        <v>32</v>
      </c>
      <c r="T87" s="3" t="str">
        <f>Sheet4!H87</f>
        <v xml:space="preserve"> View Map </v>
      </c>
    </row>
    <row r="88" spans="1:20" ht="15" x14ac:dyDescent="0.25">
      <c r="A88" s="1" t="s">
        <v>476</v>
      </c>
      <c r="B88" s="1" t="s">
        <v>477</v>
      </c>
      <c r="C88" s="2">
        <v>2005</v>
      </c>
      <c r="D88" s="1" t="s">
        <v>24</v>
      </c>
      <c r="E88" s="2">
        <v>1</v>
      </c>
      <c r="F88" s="1" t="s">
        <v>478</v>
      </c>
      <c r="G88" s="1"/>
      <c r="H88" s="2">
        <v>0</v>
      </c>
      <c r="I88" s="2">
        <v>32500</v>
      </c>
      <c r="J88" s="1" t="s">
        <v>479</v>
      </c>
      <c r="K88" s="2">
        <v>32500</v>
      </c>
      <c r="L88" s="1" t="s">
        <v>51</v>
      </c>
      <c r="M88" s="1" t="s">
        <v>52</v>
      </c>
      <c r="N88" s="1" t="s">
        <v>53</v>
      </c>
      <c r="O88" s="1" t="s">
        <v>62</v>
      </c>
      <c r="P88" s="1" t="s">
        <v>45</v>
      </c>
      <c r="Q88" s="1" t="s">
        <v>46</v>
      </c>
      <c r="R88" s="1" t="s">
        <v>55</v>
      </c>
      <c r="S88" s="1" t="s">
        <v>32</v>
      </c>
      <c r="T88" s="3" t="str">
        <f>Sheet4!H88</f>
        <v xml:space="preserve"> View Map </v>
      </c>
    </row>
    <row r="89" spans="1:20" ht="15" x14ac:dyDescent="0.25">
      <c r="A89" s="1" t="s">
        <v>480</v>
      </c>
      <c r="B89" s="1" t="s">
        <v>481</v>
      </c>
      <c r="C89" s="2">
        <v>2005</v>
      </c>
      <c r="D89" s="1" t="s">
        <v>24</v>
      </c>
      <c r="E89" s="2">
        <v>0</v>
      </c>
      <c r="F89" s="1" t="s">
        <v>481</v>
      </c>
      <c r="G89" s="1"/>
      <c r="H89" s="2">
        <v>0</v>
      </c>
      <c r="I89" s="2">
        <v>16000</v>
      </c>
      <c r="J89" s="1" t="s">
        <v>482</v>
      </c>
      <c r="K89" s="1" t="s">
        <v>28</v>
      </c>
      <c r="L89" s="1" t="s">
        <v>68</v>
      </c>
      <c r="M89" s="1" t="s">
        <v>69</v>
      </c>
      <c r="N89" s="1" t="s">
        <v>162</v>
      </c>
      <c r="O89" s="1" t="s">
        <v>374</v>
      </c>
      <c r="P89" s="1" t="s">
        <v>162</v>
      </c>
      <c r="Q89" s="1" t="s">
        <v>162</v>
      </c>
      <c r="R89" s="1" t="s">
        <v>162</v>
      </c>
      <c r="S89" s="1" t="s">
        <v>71</v>
      </c>
      <c r="T89" s="3" t="str">
        <f>Sheet4!H89</f>
        <v xml:space="preserve"> View Map </v>
      </c>
    </row>
    <row r="90" spans="1:20" ht="15" x14ac:dyDescent="0.25">
      <c r="A90" s="1" t="s">
        <v>483</v>
      </c>
      <c r="B90" s="1" t="s">
        <v>484</v>
      </c>
      <c r="C90" s="2">
        <v>2005</v>
      </c>
      <c r="D90" s="1" t="s">
        <v>24</v>
      </c>
      <c r="E90" s="2">
        <v>1</v>
      </c>
      <c r="F90" s="1" t="s">
        <v>485</v>
      </c>
      <c r="G90" s="1"/>
      <c r="H90" s="2">
        <v>0</v>
      </c>
      <c r="I90" s="2">
        <v>37000</v>
      </c>
      <c r="J90" s="1" t="s">
        <v>486</v>
      </c>
      <c r="K90" s="2">
        <v>37000</v>
      </c>
      <c r="L90" s="1" t="s">
        <v>68</v>
      </c>
      <c r="M90" s="1" t="s">
        <v>69</v>
      </c>
      <c r="N90" s="1" t="s">
        <v>162</v>
      </c>
      <c r="O90" s="1" t="s">
        <v>365</v>
      </c>
      <c r="P90" s="1" t="s">
        <v>162</v>
      </c>
      <c r="Q90" s="1" t="s">
        <v>355</v>
      </c>
      <c r="R90" s="1" t="s">
        <v>162</v>
      </c>
      <c r="S90" s="1" t="s">
        <v>32</v>
      </c>
      <c r="T90" s="3" t="str">
        <f>Sheet4!H90</f>
        <v xml:space="preserve"> View Map </v>
      </c>
    </row>
    <row r="91" spans="1:20" ht="15" x14ac:dyDescent="0.25">
      <c r="A91" s="1" t="s">
        <v>487</v>
      </c>
      <c r="B91" s="1" t="s">
        <v>488</v>
      </c>
      <c r="C91" s="2">
        <v>2021</v>
      </c>
      <c r="D91" s="1" t="s">
        <v>24</v>
      </c>
      <c r="E91" s="2">
        <v>1</v>
      </c>
      <c r="F91" s="1" t="s">
        <v>489</v>
      </c>
      <c r="G91" s="1" t="s">
        <v>490</v>
      </c>
      <c r="H91" s="2">
        <v>1585</v>
      </c>
      <c r="I91" s="2">
        <v>18200</v>
      </c>
      <c r="J91" s="1" t="s">
        <v>491</v>
      </c>
      <c r="K91" s="1" t="s">
        <v>28</v>
      </c>
      <c r="L91" s="1" t="s">
        <v>29</v>
      </c>
      <c r="M91" s="1" t="s">
        <v>30</v>
      </c>
      <c r="N91" s="1" t="s">
        <v>20</v>
      </c>
      <c r="O91" s="1" t="s">
        <v>31</v>
      </c>
      <c r="P91" s="1" t="s">
        <v>20</v>
      </c>
      <c r="Q91" s="1" t="s">
        <v>33</v>
      </c>
      <c r="R91" s="1" t="s">
        <v>38</v>
      </c>
      <c r="S91" s="1" t="s">
        <v>71</v>
      </c>
      <c r="T91" s="3" t="str">
        <f>Sheet4!H91</f>
        <v xml:space="preserve"> View Map </v>
      </c>
    </row>
    <row r="92" spans="1:20" ht="15" x14ac:dyDescent="0.25">
      <c r="A92" s="1" t="s">
        <v>492</v>
      </c>
      <c r="B92" s="1" t="s">
        <v>493</v>
      </c>
      <c r="C92" s="2">
        <v>1929</v>
      </c>
      <c r="D92" s="1" t="s">
        <v>24</v>
      </c>
      <c r="E92" s="2">
        <v>1</v>
      </c>
      <c r="F92" s="1" t="s">
        <v>494</v>
      </c>
      <c r="G92" s="1" t="s">
        <v>495</v>
      </c>
      <c r="H92" s="2">
        <v>2300</v>
      </c>
      <c r="I92" s="2">
        <v>27000</v>
      </c>
      <c r="J92" s="1" t="s">
        <v>496</v>
      </c>
      <c r="K92" s="2">
        <v>27000</v>
      </c>
      <c r="L92" s="1" t="s">
        <v>51</v>
      </c>
      <c r="M92" s="1" t="s">
        <v>52</v>
      </c>
      <c r="N92" s="1" t="s">
        <v>53</v>
      </c>
      <c r="O92" s="1" t="s">
        <v>412</v>
      </c>
      <c r="P92" s="1" t="s">
        <v>45</v>
      </c>
      <c r="Q92" s="1" t="s">
        <v>45</v>
      </c>
      <c r="R92" s="1" t="s">
        <v>55</v>
      </c>
      <c r="S92" s="1" t="s">
        <v>71</v>
      </c>
      <c r="T92" s="3" t="str">
        <f>Sheet4!H92</f>
        <v xml:space="preserve"> View Map </v>
      </c>
    </row>
    <row r="93" spans="1:20" ht="15" x14ac:dyDescent="0.25">
      <c r="A93" s="1" t="s">
        <v>497</v>
      </c>
      <c r="B93" s="1" t="s">
        <v>498</v>
      </c>
      <c r="C93" s="2">
        <v>2017</v>
      </c>
      <c r="D93" s="1" t="s">
        <v>24</v>
      </c>
      <c r="E93" s="2">
        <v>1</v>
      </c>
      <c r="F93" s="1" t="s">
        <v>439</v>
      </c>
      <c r="G93" s="1" t="s">
        <v>60</v>
      </c>
      <c r="H93" s="2">
        <v>916</v>
      </c>
      <c r="I93" s="2">
        <v>19000</v>
      </c>
      <c r="J93" s="1" t="s">
        <v>499</v>
      </c>
      <c r="K93" s="2">
        <v>19000</v>
      </c>
      <c r="L93" s="1" t="s">
        <v>51</v>
      </c>
      <c r="M93" s="1" t="s">
        <v>52</v>
      </c>
      <c r="N93" s="1" t="s">
        <v>53</v>
      </c>
      <c r="O93" s="1" t="s">
        <v>62</v>
      </c>
      <c r="P93" s="1" t="s">
        <v>45</v>
      </c>
      <c r="Q93" s="1" t="s">
        <v>46</v>
      </c>
      <c r="R93" s="1" t="s">
        <v>55</v>
      </c>
      <c r="S93" s="1" t="s">
        <v>71</v>
      </c>
      <c r="T93" s="3" t="str">
        <f>Sheet4!H93</f>
        <v xml:space="preserve"> View Map </v>
      </c>
    </row>
    <row r="94" spans="1:20" ht="15" x14ac:dyDescent="0.25">
      <c r="A94" s="1" t="s">
        <v>500</v>
      </c>
      <c r="B94" s="1" t="s">
        <v>501</v>
      </c>
      <c r="C94" s="2">
        <v>2020</v>
      </c>
      <c r="D94" s="1" t="s">
        <v>24</v>
      </c>
      <c r="E94" s="2">
        <v>1</v>
      </c>
      <c r="F94" s="1" t="s">
        <v>502</v>
      </c>
      <c r="G94" s="1" t="s">
        <v>273</v>
      </c>
      <c r="H94" s="2">
        <v>5300</v>
      </c>
      <c r="I94" s="2">
        <v>39000</v>
      </c>
      <c r="J94" s="1" t="s">
        <v>503</v>
      </c>
      <c r="K94" s="1" t="s">
        <v>28</v>
      </c>
      <c r="L94" s="1" t="s">
        <v>29</v>
      </c>
      <c r="M94" s="1" t="s">
        <v>30</v>
      </c>
      <c r="N94" s="1" t="s">
        <v>20</v>
      </c>
      <c r="O94" s="1" t="s">
        <v>135</v>
      </c>
      <c r="P94" s="1" t="s">
        <v>20</v>
      </c>
      <c r="Q94" s="1" t="s">
        <v>129</v>
      </c>
      <c r="R94" s="1" t="s">
        <v>136</v>
      </c>
      <c r="S94" s="1" t="s">
        <v>32</v>
      </c>
      <c r="T94" s="3" t="str">
        <f>Sheet4!H94</f>
        <v xml:space="preserve"> View Map </v>
      </c>
    </row>
    <row r="95" spans="1:20" ht="15" x14ac:dyDescent="0.25">
      <c r="A95" s="1" t="s">
        <v>504</v>
      </c>
      <c r="B95" s="1" t="s">
        <v>505</v>
      </c>
      <c r="C95" s="2">
        <v>2005</v>
      </c>
      <c r="D95" s="1" t="s">
        <v>81</v>
      </c>
      <c r="E95" s="2">
        <v>0</v>
      </c>
      <c r="F95" s="1"/>
      <c r="G95" s="1"/>
      <c r="H95" s="2">
        <v>0</v>
      </c>
      <c r="I95" s="2">
        <v>0</v>
      </c>
      <c r="J95" s="1"/>
      <c r="K95" s="1" t="s">
        <v>28</v>
      </c>
      <c r="L95" s="1" t="s">
        <v>51</v>
      </c>
      <c r="M95" s="1" t="s">
        <v>28</v>
      </c>
      <c r="N95" s="1" t="s">
        <v>53</v>
      </c>
      <c r="O95" s="1" t="s">
        <v>28</v>
      </c>
      <c r="P95" s="1" t="s">
        <v>45</v>
      </c>
      <c r="Q95" s="1" t="s">
        <v>28</v>
      </c>
      <c r="R95" s="1" t="s">
        <v>105</v>
      </c>
      <c r="S95" s="1" t="s">
        <v>32</v>
      </c>
      <c r="T95" s="3" t="str">
        <f>Sheet4!H95</f>
        <v xml:space="preserve"> View Map </v>
      </c>
    </row>
    <row r="96" spans="1:20" ht="15" x14ac:dyDescent="0.25">
      <c r="A96" s="1" t="s">
        <v>507</v>
      </c>
      <c r="B96" s="1" t="s">
        <v>508</v>
      </c>
      <c r="C96" s="2">
        <v>2005</v>
      </c>
      <c r="D96" s="1" t="s">
        <v>24</v>
      </c>
      <c r="E96" s="2">
        <v>1</v>
      </c>
      <c r="F96" s="1" t="s">
        <v>509</v>
      </c>
      <c r="G96" s="1"/>
      <c r="H96" s="2">
        <v>0</v>
      </c>
      <c r="I96" s="2">
        <v>350000</v>
      </c>
      <c r="J96" s="1" t="s">
        <v>510</v>
      </c>
      <c r="K96" s="2">
        <v>315000</v>
      </c>
      <c r="L96" s="1" t="s">
        <v>68</v>
      </c>
      <c r="M96" s="1" t="s">
        <v>69</v>
      </c>
      <c r="N96" s="1" t="s">
        <v>162</v>
      </c>
      <c r="O96" s="1" t="s">
        <v>511</v>
      </c>
      <c r="P96" s="1" t="s">
        <v>162</v>
      </c>
      <c r="Q96" s="1" t="s">
        <v>506</v>
      </c>
      <c r="R96" s="1" t="s">
        <v>162</v>
      </c>
      <c r="S96" s="1" t="s">
        <v>71</v>
      </c>
      <c r="T96" s="3" t="str">
        <f>Sheet4!H96</f>
        <v xml:space="preserve"> View Map </v>
      </c>
    </row>
    <row r="97" spans="1:20" ht="15" x14ac:dyDescent="0.25">
      <c r="A97" s="1" t="s">
        <v>512</v>
      </c>
      <c r="B97" s="1" t="s">
        <v>513</v>
      </c>
      <c r="C97" s="2">
        <v>2005</v>
      </c>
      <c r="D97" s="1" t="s">
        <v>24</v>
      </c>
      <c r="E97" s="2">
        <v>1</v>
      </c>
      <c r="F97" s="1" t="s">
        <v>514</v>
      </c>
      <c r="G97" s="1"/>
      <c r="H97" s="2">
        <v>330</v>
      </c>
      <c r="I97" s="2">
        <v>150000</v>
      </c>
      <c r="J97" s="1" t="s">
        <v>515</v>
      </c>
      <c r="K97" s="2">
        <v>150000</v>
      </c>
      <c r="L97" s="1" t="s">
        <v>68</v>
      </c>
      <c r="M97" s="1" t="s">
        <v>69</v>
      </c>
      <c r="N97" s="1" t="s">
        <v>162</v>
      </c>
      <c r="O97" s="1" t="s">
        <v>167</v>
      </c>
      <c r="P97" s="1" t="s">
        <v>162</v>
      </c>
      <c r="Q97" s="1" t="s">
        <v>311</v>
      </c>
      <c r="R97" s="1" t="s">
        <v>516</v>
      </c>
      <c r="S97" s="1" t="s">
        <v>71</v>
      </c>
      <c r="T97" s="3" t="str">
        <f>Sheet4!H97</f>
        <v xml:space="preserve"> View Map </v>
      </c>
    </row>
    <row r="98" spans="1:20" ht="15" x14ac:dyDescent="0.25">
      <c r="A98" s="1" t="s">
        <v>517</v>
      </c>
      <c r="B98" s="1" t="s">
        <v>518</v>
      </c>
      <c r="C98" s="2">
        <v>2005</v>
      </c>
      <c r="D98" s="1" t="s">
        <v>24</v>
      </c>
      <c r="E98" s="2">
        <v>1</v>
      </c>
      <c r="F98" s="1" t="s">
        <v>519</v>
      </c>
      <c r="G98" s="1"/>
      <c r="H98" s="2">
        <v>0</v>
      </c>
      <c r="I98" s="2">
        <v>65000</v>
      </c>
      <c r="J98" s="1" t="s">
        <v>520</v>
      </c>
      <c r="K98" s="2">
        <v>65000</v>
      </c>
      <c r="L98" s="1" t="s">
        <v>68</v>
      </c>
      <c r="M98" s="1" t="s">
        <v>69</v>
      </c>
      <c r="N98" s="1" t="s">
        <v>275</v>
      </c>
      <c r="O98" s="1" t="s">
        <v>391</v>
      </c>
      <c r="P98" s="1" t="s">
        <v>275</v>
      </c>
      <c r="Q98" s="1" t="s">
        <v>276</v>
      </c>
      <c r="R98" s="1" t="s">
        <v>275</v>
      </c>
      <c r="S98" s="1" t="s">
        <v>71</v>
      </c>
      <c r="T98" s="3" t="str">
        <f>Sheet4!H98</f>
        <v xml:space="preserve"> View Map </v>
      </c>
    </row>
    <row r="99" spans="1:20" ht="15" x14ac:dyDescent="0.25">
      <c r="A99" s="1" t="s">
        <v>521</v>
      </c>
      <c r="B99" s="1" t="s">
        <v>522</v>
      </c>
      <c r="C99" s="2">
        <v>2005</v>
      </c>
      <c r="D99" s="1" t="s">
        <v>24</v>
      </c>
      <c r="E99" s="2">
        <v>1</v>
      </c>
      <c r="F99" s="1" t="s">
        <v>523</v>
      </c>
      <c r="G99" s="1"/>
      <c r="H99" s="2">
        <v>0</v>
      </c>
      <c r="I99" s="2">
        <v>26400</v>
      </c>
      <c r="J99" s="1" t="s">
        <v>524</v>
      </c>
      <c r="K99" s="2">
        <v>26400</v>
      </c>
      <c r="L99" s="1" t="s">
        <v>68</v>
      </c>
      <c r="M99" s="1" t="s">
        <v>69</v>
      </c>
      <c r="N99" s="1" t="s">
        <v>275</v>
      </c>
      <c r="O99" s="1" t="s">
        <v>407</v>
      </c>
      <c r="P99" s="1" t="s">
        <v>275</v>
      </c>
      <c r="Q99" s="1" t="s">
        <v>402</v>
      </c>
      <c r="R99" s="1" t="s">
        <v>275</v>
      </c>
      <c r="S99" s="1" t="s">
        <v>32</v>
      </c>
      <c r="T99" s="3" t="str">
        <f>Sheet4!H99</f>
        <v xml:space="preserve"> View Map </v>
      </c>
    </row>
    <row r="100" spans="1:20" ht="15" x14ac:dyDescent="0.25">
      <c r="A100" s="1" t="s">
        <v>525</v>
      </c>
      <c r="B100" s="1" t="s">
        <v>526</v>
      </c>
      <c r="C100" s="2">
        <v>0</v>
      </c>
      <c r="D100" s="1" t="s">
        <v>24</v>
      </c>
      <c r="E100" s="2">
        <v>1</v>
      </c>
      <c r="F100" s="1" t="s">
        <v>527</v>
      </c>
      <c r="G100" s="1" t="s">
        <v>528</v>
      </c>
      <c r="H100" s="2">
        <v>5000</v>
      </c>
      <c r="I100" s="2">
        <v>5500</v>
      </c>
      <c r="J100" s="1" t="s">
        <v>529</v>
      </c>
      <c r="K100" s="2">
        <v>5500</v>
      </c>
      <c r="L100" s="1" t="s">
        <v>29</v>
      </c>
      <c r="M100" s="1" t="s">
        <v>134</v>
      </c>
      <c r="N100" s="1" t="s">
        <v>160</v>
      </c>
      <c r="O100" s="1" t="s">
        <v>161</v>
      </c>
      <c r="P100" s="1" t="s">
        <v>153</v>
      </c>
      <c r="Q100" s="1" t="s">
        <v>154</v>
      </c>
      <c r="R100" s="1" t="s">
        <v>136</v>
      </c>
      <c r="S100" s="1" t="s">
        <v>32</v>
      </c>
      <c r="T100" s="3" t="str">
        <f>Sheet4!H100</f>
        <v xml:space="preserve"> View Map </v>
      </c>
    </row>
    <row r="101" spans="1:20" ht="15" x14ac:dyDescent="0.25">
      <c r="A101" s="1" t="s">
        <v>530</v>
      </c>
      <c r="B101" s="1" t="s">
        <v>531</v>
      </c>
      <c r="C101" s="2">
        <v>2018</v>
      </c>
      <c r="D101" s="1" t="s">
        <v>24</v>
      </c>
      <c r="E101" s="2">
        <v>1</v>
      </c>
      <c r="F101" s="1" t="s">
        <v>532</v>
      </c>
      <c r="G101" s="1"/>
      <c r="H101" s="2">
        <v>5125</v>
      </c>
      <c r="I101" s="2">
        <v>28000</v>
      </c>
      <c r="J101" s="1" t="s">
        <v>533</v>
      </c>
      <c r="K101" s="2">
        <v>28000</v>
      </c>
      <c r="L101" s="1" t="s">
        <v>29</v>
      </c>
      <c r="M101" s="1" t="s">
        <v>30</v>
      </c>
      <c r="N101" s="1" t="s">
        <v>20</v>
      </c>
      <c r="O101" s="1" t="s">
        <v>31</v>
      </c>
      <c r="P101" s="1" t="s">
        <v>20</v>
      </c>
      <c r="Q101" s="1" t="s">
        <v>33</v>
      </c>
      <c r="R101" s="1" t="s">
        <v>38</v>
      </c>
      <c r="S101" s="1" t="s">
        <v>534</v>
      </c>
      <c r="T101" s="3" t="str">
        <f>Sheet4!H101</f>
        <v xml:space="preserve"> View Map </v>
      </c>
    </row>
    <row r="102" spans="1:20" ht="15" x14ac:dyDescent="0.25">
      <c r="A102" s="1" t="s">
        <v>536</v>
      </c>
      <c r="B102" s="1" t="s">
        <v>537</v>
      </c>
      <c r="C102" s="2">
        <v>2005</v>
      </c>
      <c r="D102" s="1" t="s">
        <v>24</v>
      </c>
      <c r="E102" s="2">
        <v>0</v>
      </c>
      <c r="F102" s="1" t="s">
        <v>538</v>
      </c>
      <c r="G102" s="1" t="s">
        <v>539</v>
      </c>
      <c r="H102" s="2">
        <v>1650</v>
      </c>
      <c r="I102" s="2">
        <v>43000</v>
      </c>
      <c r="J102" s="1" t="s">
        <v>540</v>
      </c>
      <c r="K102" s="1" t="s">
        <v>28</v>
      </c>
      <c r="L102" s="1" t="s">
        <v>68</v>
      </c>
      <c r="M102" s="1" t="s">
        <v>69</v>
      </c>
      <c r="N102" s="1" t="s">
        <v>53</v>
      </c>
      <c r="O102" s="1" t="s">
        <v>127</v>
      </c>
      <c r="P102" s="1" t="s">
        <v>45</v>
      </c>
      <c r="Q102" s="1" t="s">
        <v>535</v>
      </c>
      <c r="R102" s="1" t="s">
        <v>128</v>
      </c>
      <c r="S102" s="1" t="s">
        <v>71</v>
      </c>
      <c r="T102" s="3" t="str">
        <f>Sheet4!H102</f>
        <v xml:space="preserve"> View Map </v>
      </c>
    </row>
    <row r="103" spans="1:20" ht="15" x14ac:dyDescent="0.25">
      <c r="A103" s="1" t="s">
        <v>541</v>
      </c>
      <c r="B103" s="1" t="s">
        <v>542</v>
      </c>
      <c r="C103" s="2">
        <v>0</v>
      </c>
      <c r="D103" s="1" t="s">
        <v>24</v>
      </c>
      <c r="E103" s="2">
        <v>0</v>
      </c>
      <c r="F103" s="1" t="s">
        <v>543</v>
      </c>
      <c r="G103" s="1"/>
      <c r="H103" s="2">
        <v>0</v>
      </c>
      <c r="I103" s="2">
        <v>77000</v>
      </c>
      <c r="J103" s="1" t="s">
        <v>544</v>
      </c>
      <c r="K103" s="1" t="s">
        <v>28</v>
      </c>
      <c r="L103" s="1" t="s">
        <v>68</v>
      </c>
      <c r="M103" s="1" t="s">
        <v>69</v>
      </c>
      <c r="N103" s="1" t="s">
        <v>162</v>
      </c>
      <c r="O103" s="1" t="s">
        <v>374</v>
      </c>
      <c r="P103" s="1" t="s">
        <v>162</v>
      </c>
      <c r="Q103" s="1" t="s">
        <v>162</v>
      </c>
      <c r="R103" s="1" t="s">
        <v>162</v>
      </c>
      <c r="S103" s="1" t="s">
        <v>71</v>
      </c>
      <c r="T103" s="3" t="str">
        <f>Sheet4!H103</f>
        <v xml:space="preserve"> View Map </v>
      </c>
    </row>
    <row r="104" spans="1:20" ht="15" x14ac:dyDescent="0.25">
      <c r="A104" s="1" t="s">
        <v>545</v>
      </c>
      <c r="B104" s="1" t="s">
        <v>546</v>
      </c>
      <c r="C104" s="2">
        <v>0</v>
      </c>
      <c r="D104" s="1" t="s">
        <v>24</v>
      </c>
      <c r="E104" s="2">
        <v>0</v>
      </c>
      <c r="F104" s="1" t="s">
        <v>547</v>
      </c>
      <c r="G104" s="1" t="s">
        <v>548</v>
      </c>
      <c r="H104" s="2">
        <v>175</v>
      </c>
      <c r="I104" s="2">
        <v>15000</v>
      </c>
      <c r="J104" s="1" t="s">
        <v>549</v>
      </c>
      <c r="K104" s="2">
        <v>15000</v>
      </c>
      <c r="L104" s="1" t="s">
        <v>68</v>
      </c>
      <c r="M104" s="1" t="s">
        <v>69</v>
      </c>
      <c r="N104" s="1" t="s">
        <v>72</v>
      </c>
      <c r="O104" s="1" t="s">
        <v>550</v>
      </c>
      <c r="P104" s="1" t="s">
        <v>275</v>
      </c>
      <c r="Q104" s="1" t="s">
        <v>275</v>
      </c>
      <c r="R104" s="1" t="s">
        <v>275</v>
      </c>
      <c r="S104" s="1" t="s">
        <v>71</v>
      </c>
      <c r="T104" s="3" t="str">
        <f>Sheet4!H104</f>
        <v xml:space="preserve"> View Map </v>
      </c>
    </row>
    <row r="105" spans="1:20" ht="15" x14ac:dyDescent="0.25">
      <c r="A105" s="1" t="s">
        <v>551</v>
      </c>
      <c r="B105" s="1" t="s">
        <v>552</v>
      </c>
      <c r="C105" s="2">
        <v>1994</v>
      </c>
      <c r="D105" s="1" t="s">
        <v>24</v>
      </c>
      <c r="E105" s="2">
        <v>0</v>
      </c>
      <c r="F105" s="1" t="s">
        <v>553</v>
      </c>
      <c r="G105" s="1" t="s">
        <v>554</v>
      </c>
      <c r="H105" s="2">
        <v>0</v>
      </c>
      <c r="I105" s="2">
        <v>25000</v>
      </c>
      <c r="J105" s="1" t="s">
        <v>555</v>
      </c>
      <c r="K105" s="1" t="s">
        <v>28</v>
      </c>
      <c r="L105" s="1" t="s">
        <v>51</v>
      </c>
      <c r="M105" s="1" t="s">
        <v>52</v>
      </c>
      <c r="N105" s="1" t="s">
        <v>20</v>
      </c>
      <c r="O105" s="1" t="s">
        <v>173</v>
      </c>
      <c r="P105" s="1" t="s">
        <v>20</v>
      </c>
      <c r="Q105" s="1" t="s">
        <v>168</v>
      </c>
      <c r="R105" s="1" t="s">
        <v>431</v>
      </c>
      <c r="S105" s="1" t="s">
        <v>71</v>
      </c>
      <c r="T105" s="3" t="str">
        <f>Sheet4!H105</f>
        <v xml:space="preserve"> View Map </v>
      </c>
    </row>
    <row r="106" spans="1:20" ht="15" x14ac:dyDescent="0.25">
      <c r="A106" s="1" t="s">
        <v>556</v>
      </c>
      <c r="B106" s="1" t="s">
        <v>557</v>
      </c>
      <c r="C106" s="2">
        <v>2005</v>
      </c>
      <c r="D106" s="1" t="s">
        <v>24</v>
      </c>
      <c r="E106" s="2">
        <v>1</v>
      </c>
      <c r="F106" s="1" t="s">
        <v>558</v>
      </c>
      <c r="G106" s="1"/>
      <c r="H106" s="2">
        <v>0</v>
      </c>
      <c r="I106" s="2">
        <v>35250</v>
      </c>
      <c r="J106" s="1" t="s">
        <v>559</v>
      </c>
      <c r="K106" s="2">
        <v>35250</v>
      </c>
      <c r="L106" s="1" t="s">
        <v>51</v>
      </c>
      <c r="M106" s="1" t="s">
        <v>159</v>
      </c>
      <c r="N106" s="1" t="s">
        <v>162</v>
      </c>
      <c r="O106" s="1" t="s">
        <v>560</v>
      </c>
      <c r="P106" s="1" t="s">
        <v>162</v>
      </c>
      <c r="Q106" s="1" t="s">
        <v>516</v>
      </c>
      <c r="R106" s="1" t="s">
        <v>561</v>
      </c>
      <c r="S106" s="1" t="s">
        <v>32</v>
      </c>
      <c r="T106" s="3" t="str">
        <f>Sheet4!H106</f>
        <v xml:space="preserve"> View Map </v>
      </c>
    </row>
    <row r="107" spans="1:20" ht="15" x14ac:dyDescent="0.25">
      <c r="A107" s="1" t="s">
        <v>563</v>
      </c>
      <c r="B107" s="1" t="s">
        <v>564</v>
      </c>
      <c r="C107" s="2">
        <v>2005</v>
      </c>
      <c r="D107" s="1" t="s">
        <v>24</v>
      </c>
      <c r="E107" s="2">
        <v>1</v>
      </c>
      <c r="F107" s="1" t="s">
        <v>565</v>
      </c>
      <c r="G107" s="1"/>
      <c r="H107" s="2">
        <v>4060</v>
      </c>
      <c r="I107" s="2">
        <v>60000</v>
      </c>
      <c r="J107" s="1" t="s">
        <v>566</v>
      </c>
      <c r="K107" s="2">
        <v>60000</v>
      </c>
      <c r="L107" s="1" t="s">
        <v>29</v>
      </c>
      <c r="M107" s="1" t="s">
        <v>30</v>
      </c>
      <c r="N107" s="1" t="s">
        <v>20</v>
      </c>
      <c r="O107" s="1" t="s">
        <v>173</v>
      </c>
      <c r="P107" s="1" t="s">
        <v>20</v>
      </c>
      <c r="Q107" s="1" t="s">
        <v>562</v>
      </c>
      <c r="R107" s="1" t="s">
        <v>20</v>
      </c>
      <c r="S107" s="1" t="s">
        <v>32</v>
      </c>
      <c r="T107" s="3" t="str">
        <f>Sheet4!H107</f>
        <v xml:space="preserve"> View Map </v>
      </c>
    </row>
    <row r="108" spans="1:20" ht="15" x14ac:dyDescent="0.25">
      <c r="A108" s="1" t="s">
        <v>567</v>
      </c>
      <c r="B108" s="1" t="s">
        <v>568</v>
      </c>
      <c r="C108" s="2">
        <v>2005</v>
      </c>
      <c r="D108" s="1" t="s">
        <v>81</v>
      </c>
      <c r="E108" s="2">
        <v>0</v>
      </c>
      <c r="F108" s="1" t="s">
        <v>28</v>
      </c>
      <c r="G108" s="1" t="s">
        <v>28</v>
      </c>
      <c r="H108" s="1" t="s">
        <v>28</v>
      </c>
      <c r="I108" s="2">
        <v>0</v>
      </c>
      <c r="J108" s="1"/>
      <c r="K108" s="1" t="s">
        <v>28</v>
      </c>
      <c r="L108" s="1" t="s">
        <v>51</v>
      </c>
      <c r="M108" s="1" t="s">
        <v>28</v>
      </c>
      <c r="N108" s="1" t="s">
        <v>53</v>
      </c>
      <c r="O108" s="1" t="s">
        <v>28</v>
      </c>
      <c r="P108" s="1" t="s">
        <v>45</v>
      </c>
      <c r="Q108" s="1" t="s">
        <v>28</v>
      </c>
      <c r="R108" s="1" t="s">
        <v>262</v>
      </c>
      <c r="S108" s="1" t="s">
        <v>32</v>
      </c>
      <c r="T108" s="3" t="str">
        <f>Sheet4!H108</f>
        <v xml:space="preserve"> View Map </v>
      </c>
    </row>
    <row r="109" spans="1:20" ht="15" x14ac:dyDescent="0.25">
      <c r="A109" s="1" t="s">
        <v>569</v>
      </c>
      <c r="B109" s="1" t="s">
        <v>570</v>
      </c>
      <c r="C109" s="2">
        <v>2021</v>
      </c>
      <c r="D109" s="1" t="s">
        <v>24</v>
      </c>
      <c r="E109" s="2">
        <v>1</v>
      </c>
      <c r="F109" s="1" t="s">
        <v>571</v>
      </c>
      <c r="G109" s="1" t="s">
        <v>572</v>
      </c>
      <c r="H109" s="2">
        <v>5000</v>
      </c>
      <c r="I109" s="2">
        <v>54000</v>
      </c>
      <c r="J109" s="1" t="s">
        <v>573</v>
      </c>
      <c r="K109" s="2">
        <v>54000</v>
      </c>
      <c r="L109" s="1" t="s">
        <v>29</v>
      </c>
      <c r="M109" s="1" t="s">
        <v>30</v>
      </c>
      <c r="N109" s="1" t="s">
        <v>20</v>
      </c>
      <c r="O109" s="1" t="s">
        <v>173</v>
      </c>
      <c r="P109" s="1" t="s">
        <v>20</v>
      </c>
      <c r="Q109" s="1" t="s">
        <v>179</v>
      </c>
      <c r="R109" s="1" t="s">
        <v>259</v>
      </c>
      <c r="S109" s="1" t="s">
        <v>32</v>
      </c>
      <c r="T109" s="3" t="str">
        <f>Sheet4!H109</f>
        <v xml:space="preserve"> View Map </v>
      </c>
    </row>
    <row r="110" spans="1:20" ht="15" x14ac:dyDescent="0.25">
      <c r="A110" s="1" t="s">
        <v>574</v>
      </c>
      <c r="B110" s="1" t="s">
        <v>575</v>
      </c>
      <c r="C110" s="2">
        <v>2016</v>
      </c>
      <c r="D110" s="1" t="s">
        <v>24</v>
      </c>
      <c r="E110" s="2">
        <v>1</v>
      </c>
      <c r="F110" s="1" t="s">
        <v>576</v>
      </c>
      <c r="G110" s="1"/>
      <c r="H110" s="2">
        <v>0</v>
      </c>
      <c r="I110" s="2">
        <v>39000</v>
      </c>
      <c r="J110" s="1" t="s">
        <v>577</v>
      </c>
      <c r="K110" s="2">
        <v>39000</v>
      </c>
      <c r="L110" s="1" t="s">
        <v>68</v>
      </c>
      <c r="M110" s="1" t="s">
        <v>69</v>
      </c>
      <c r="N110" s="1" t="s">
        <v>162</v>
      </c>
      <c r="O110" s="1" t="s">
        <v>511</v>
      </c>
      <c r="P110" s="1" t="s">
        <v>162</v>
      </c>
      <c r="Q110" s="1" t="s">
        <v>506</v>
      </c>
      <c r="R110" s="1" t="s">
        <v>162</v>
      </c>
      <c r="S110" s="1" t="s">
        <v>71</v>
      </c>
      <c r="T110" s="3" t="str">
        <f>Sheet4!H110</f>
        <v xml:space="preserve"> View Map </v>
      </c>
    </row>
    <row r="111" spans="1:20" ht="15" x14ac:dyDescent="0.25">
      <c r="A111" s="1" t="s">
        <v>578</v>
      </c>
      <c r="B111" s="1" t="s">
        <v>579</v>
      </c>
      <c r="C111" s="2">
        <v>0</v>
      </c>
      <c r="D111" s="1" t="s">
        <v>24</v>
      </c>
      <c r="E111" s="2">
        <v>1</v>
      </c>
      <c r="F111" s="1" t="s">
        <v>580</v>
      </c>
      <c r="G111" s="1"/>
      <c r="H111" s="2">
        <v>1392</v>
      </c>
      <c r="I111" s="2">
        <v>100000</v>
      </c>
      <c r="J111" s="1" t="s">
        <v>581</v>
      </c>
      <c r="K111" s="2">
        <v>7000</v>
      </c>
      <c r="L111" s="1" t="s">
        <v>29</v>
      </c>
      <c r="M111" s="1" t="s">
        <v>134</v>
      </c>
      <c r="N111" s="1" t="s">
        <v>160</v>
      </c>
      <c r="O111" s="1" t="s">
        <v>582</v>
      </c>
      <c r="P111" s="1" t="s">
        <v>153</v>
      </c>
      <c r="Q111" s="1" t="s">
        <v>153</v>
      </c>
      <c r="R111" s="1" t="s">
        <v>192</v>
      </c>
      <c r="S111" s="1" t="s">
        <v>32</v>
      </c>
      <c r="T111" s="3" t="str">
        <f>Sheet4!H111</f>
        <v xml:space="preserve"> View Map </v>
      </c>
    </row>
    <row r="112" spans="1:20" ht="15" x14ac:dyDescent="0.25">
      <c r="A112" s="1" t="s">
        <v>583</v>
      </c>
      <c r="B112" s="1" t="s">
        <v>584</v>
      </c>
      <c r="C112" s="2">
        <v>2021</v>
      </c>
      <c r="D112" s="1" t="s">
        <v>24</v>
      </c>
      <c r="E112" s="2">
        <v>1</v>
      </c>
      <c r="F112" s="1" t="s">
        <v>585</v>
      </c>
      <c r="G112" s="1"/>
      <c r="H112" s="2">
        <v>1950</v>
      </c>
      <c r="I112" s="2">
        <v>22000</v>
      </c>
      <c r="J112" s="1" t="s">
        <v>586</v>
      </c>
      <c r="K112" s="2">
        <v>22000</v>
      </c>
      <c r="L112" s="1" t="s">
        <v>29</v>
      </c>
      <c r="M112" s="1" t="s">
        <v>134</v>
      </c>
      <c r="N112" s="1" t="s">
        <v>160</v>
      </c>
      <c r="O112" s="1" t="s">
        <v>587</v>
      </c>
      <c r="P112" s="1" t="s">
        <v>153</v>
      </c>
      <c r="Q112" s="1" t="s">
        <v>153</v>
      </c>
      <c r="R112" s="1" t="s">
        <v>588</v>
      </c>
      <c r="S112" s="1" t="s">
        <v>71</v>
      </c>
      <c r="T112" s="3" t="str">
        <f>Sheet4!H112</f>
        <v xml:space="preserve"> View Map </v>
      </c>
    </row>
    <row r="113" spans="1:20" ht="15" x14ac:dyDescent="0.25">
      <c r="A113" s="1" t="s">
        <v>589</v>
      </c>
      <c r="B113" s="1" t="s">
        <v>590</v>
      </c>
      <c r="C113" s="2">
        <v>2022</v>
      </c>
      <c r="D113" s="1" t="s">
        <v>24</v>
      </c>
      <c r="E113" s="2">
        <v>1</v>
      </c>
      <c r="F113" s="1" t="s">
        <v>591</v>
      </c>
      <c r="G113" s="1"/>
      <c r="H113" s="2">
        <v>807</v>
      </c>
      <c r="I113" s="2">
        <v>34000</v>
      </c>
      <c r="J113" s="1" t="s">
        <v>592</v>
      </c>
      <c r="K113" s="2">
        <v>34000</v>
      </c>
      <c r="L113" s="1" t="s">
        <v>51</v>
      </c>
      <c r="M113" s="1" t="s">
        <v>159</v>
      </c>
      <c r="N113" s="1" t="s">
        <v>160</v>
      </c>
      <c r="O113" s="1" t="s">
        <v>199</v>
      </c>
      <c r="P113" s="1" t="s">
        <v>153</v>
      </c>
      <c r="Q113" s="1" t="s">
        <v>193</v>
      </c>
      <c r="R113" s="1" t="s">
        <v>200</v>
      </c>
      <c r="S113" s="1" t="s">
        <v>71</v>
      </c>
      <c r="T113" s="3" t="str">
        <f>Sheet4!H113</f>
        <v xml:space="preserve"> View Map </v>
      </c>
    </row>
    <row r="114" spans="1:20" ht="15" x14ac:dyDescent="0.25">
      <c r="A114" s="1" t="s">
        <v>594</v>
      </c>
      <c r="B114" s="1" t="s">
        <v>595</v>
      </c>
      <c r="C114" s="2">
        <v>2024</v>
      </c>
      <c r="D114" s="1" t="s">
        <v>24</v>
      </c>
      <c r="E114" s="2">
        <v>1</v>
      </c>
      <c r="F114" s="1" t="s">
        <v>596</v>
      </c>
      <c r="G114" s="1"/>
      <c r="H114" s="2">
        <v>1174</v>
      </c>
      <c r="I114" s="2">
        <v>31500</v>
      </c>
      <c r="J114" s="1" t="s">
        <v>597</v>
      </c>
      <c r="K114" s="2">
        <v>31500</v>
      </c>
      <c r="L114" s="1" t="s">
        <v>68</v>
      </c>
      <c r="M114" s="1" t="s">
        <v>69</v>
      </c>
      <c r="N114" s="1" t="s">
        <v>72</v>
      </c>
      <c r="O114" s="1" t="s">
        <v>598</v>
      </c>
      <c r="P114" s="1" t="s">
        <v>72</v>
      </c>
      <c r="Q114" s="1" t="s">
        <v>593</v>
      </c>
      <c r="R114" s="1" t="s">
        <v>72</v>
      </c>
      <c r="S114" s="1" t="s">
        <v>299</v>
      </c>
      <c r="T114" s="3" t="str">
        <f>Sheet4!H114</f>
        <v xml:space="preserve"> View Map </v>
      </c>
    </row>
    <row r="115" spans="1:20" ht="15" x14ac:dyDescent="0.25">
      <c r="A115" s="1" t="s">
        <v>599</v>
      </c>
      <c r="B115" s="1" t="s">
        <v>600</v>
      </c>
      <c r="C115" s="2">
        <v>2005</v>
      </c>
      <c r="D115" s="1" t="s">
        <v>24</v>
      </c>
      <c r="E115" s="2">
        <v>1</v>
      </c>
      <c r="F115" s="1" t="s">
        <v>601</v>
      </c>
      <c r="G115" s="1"/>
      <c r="H115" s="2">
        <v>3000</v>
      </c>
      <c r="I115" s="2">
        <v>100000</v>
      </c>
      <c r="J115" s="1" t="s">
        <v>602</v>
      </c>
      <c r="K115" s="2">
        <v>78500</v>
      </c>
      <c r="L115" s="1" t="s">
        <v>51</v>
      </c>
      <c r="M115" s="1" t="s">
        <v>159</v>
      </c>
      <c r="N115" s="1" t="s">
        <v>160</v>
      </c>
      <c r="O115" s="1" t="s">
        <v>199</v>
      </c>
      <c r="P115" s="1" t="s">
        <v>153</v>
      </c>
      <c r="Q115" s="1" t="s">
        <v>193</v>
      </c>
      <c r="R115" s="1" t="s">
        <v>200</v>
      </c>
      <c r="S115" s="1" t="s">
        <v>32</v>
      </c>
      <c r="T115" s="3" t="str">
        <f>Sheet4!H115</f>
        <v xml:space="preserve"> View Map </v>
      </c>
    </row>
    <row r="116" spans="1:20" ht="15" x14ac:dyDescent="0.25">
      <c r="A116" s="1" t="s">
        <v>603</v>
      </c>
      <c r="B116" s="1" t="s">
        <v>604</v>
      </c>
      <c r="C116" s="2">
        <v>0</v>
      </c>
      <c r="D116" s="1" t="s">
        <v>24</v>
      </c>
      <c r="E116" s="2">
        <v>1</v>
      </c>
      <c r="F116" s="1" t="s">
        <v>604</v>
      </c>
      <c r="G116" s="1" t="s">
        <v>605</v>
      </c>
      <c r="H116" s="2">
        <v>1372</v>
      </c>
      <c r="I116" s="2">
        <v>75000</v>
      </c>
      <c r="J116" s="1" t="s">
        <v>606</v>
      </c>
      <c r="K116" s="2">
        <v>75000</v>
      </c>
      <c r="L116" s="1" t="s">
        <v>29</v>
      </c>
      <c r="M116" s="1" t="s">
        <v>30</v>
      </c>
      <c r="N116" s="1" t="s">
        <v>20</v>
      </c>
      <c r="O116" s="1" t="s">
        <v>43</v>
      </c>
      <c r="P116" s="1" t="s">
        <v>20</v>
      </c>
      <c r="Q116" s="1" t="s">
        <v>21</v>
      </c>
      <c r="R116" s="1" t="s">
        <v>607</v>
      </c>
      <c r="S116" s="1" t="s">
        <v>32</v>
      </c>
      <c r="T116" s="3" t="str">
        <f>Sheet4!H116</f>
        <v xml:space="preserve"> View Map </v>
      </c>
    </row>
    <row r="117" spans="1:20" ht="15" x14ac:dyDescent="0.25">
      <c r="A117" s="1" t="s">
        <v>608</v>
      </c>
      <c r="B117" s="1" t="s">
        <v>609</v>
      </c>
      <c r="C117" s="2">
        <v>2005</v>
      </c>
      <c r="D117" s="1" t="s">
        <v>24</v>
      </c>
      <c r="E117" s="2">
        <v>1</v>
      </c>
      <c r="F117" s="1" t="s">
        <v>610</v>
      </c>
      <c r="G117" s="1"/>
      <c r="H117" s="2">
        <v>1219</v>
      </c>
      <c r="I117" s="2">
        <v>79000</v>
      </c>
      <c r="J117" s="1" t="s">
        <v>611</v>
      </c>
      <c r="K117" s="2">
        <v>79000</v>
      </c>
      <c r="L117" s="1" t="s">
        <v>29</v>
      </c>
      <c r="M117" s="1" t="s">
        <v>30</v>
      </c>
      <c r="N117" s="1" t="s">
        <v>20</v>
      </c>
      <c r="O117" s="1" t="s">
        <v>31</v>
      </c>
      <c r="P117" s="1" t="s">
        <v>20</v>
      </c>
      <c r="Q117" s="1" t="s">
        <v>33</v>
      </c>
      <c r="R117" s="1" t="s">
        <v>38</v>
      </c>
      <c r="S117" s="1" t="s">
        <v>32</v>
      </c>
      <c r="T117" s="3" t="str">
        <f>Sheet4!H117</f>
        <v xml:space="preserve"> View Map </v>
      </c>
    </row>
    <row r="118" spans="1:20" ht="15" x14ac:dyDescent="0.25">
      <c r="A118" s="1" t="s">
        <v>612</v>
      </c>
      <c r="B118" s="1" t="s">
        <v>613</v>
      </c>
      <c r="C118" s="2">
        <v>2005</v>
      </c>
      <c r="D118" s="1" t="s">
        <v>24</v>
      </c>
      <c r="E118" s="2">
        <v>1</v>
      </c>
      <c r="F118" s="1" t="s">
        <v>614</v>
      </c>
      <c r="G118" s="1"/>
      <c r="H118" s="2">
        <v>0</v>
      </c>
      <c r="I118" s="2">
        <v>6750</v>
      </c>
      <c r="J118" s="1" t="s">
        <v>615</v>
      </c>
      <c r="K118" s="2">
        <v>6750</v>
      </c>
      <c r="L118" s="1" t="s">
        <v>29</v>
      </c>
      <c r="M118" s="1" t="s">
        <v>30</v>
      </c>
      <c r="N118" s="1" t="s">
        <v>20</v>
      </c>
      <c r="O118" s="1" t="s">
        <v>31</v>
      </c>
      <c r="P118" s="1" t="s">
        <v>20</v>
      </c>
      <c r="Q118" s="1" t="s">
        <v>33</v>
      </c>
      <c r="R118" s="1" t="s">
        <v>38</v>
      </c>
      <c r="S118" s="1" t="s">
        <v>32</v>
      </c>
      <c r="T118" s="3" t="str">
        <f>Sheet4!H118</f>
        <v xml:space="preserve"> View Map </v>
      </c>
    </row>
    <row r="119" spans="1:20" ht="15" x14ac:dyDescent="0.25">
      <c r="A119" s="1" t="s">
        <v>616</v>
      </c>
      <c r="B119" s="1" t="s">
        <v>617</v>
      </c>
      <c r="C119" s="2">
        <v>0</v>
      </c>
      <c r="D119" s="1" t="s">
        <v>24</v>
      </c>
      <c r="E119" s="2">
        <v>0</v>
      </c>
      <c r="F119" s="1" t="s">
        <v>618</v>
      </c>
      <c r="G119" s="1" t="s">
        <v>617</v>
      </c>
      <c r="H119" s="2">
        <v>1030</v>
      </c>
      <c r="I119" s="2">
        <v>26500</v>
      </c>
      <c r="J119" s="1" t="s">
        <v>619</v>
      </c>
      <c r="K119" s="1" t="s">
        <v>28</v>
      </c>
      <c r="L119" s="1" t="s">
        <v>51</v>
      </c>
      <c r="M119" s="1" t="s">
        <v>52</v>
      </c>
      <c r="N119" s="1" t="s">
        <v>20</v>
      </c>
      <c r="O119" s="1" t="s">
        <v>110</v>
      </c>
      <c r="P119" s="1" t="s">
        <v>45</v>
      </c>
      <c r="Q119" s="1" t="s">
        <v>53</v>
      </c>
      <c r="R119" s="1" t="s">
        <v>20</v>
      </c>
      <c r="S119" s="1" t="s">
        <v>56</v>
      </c>
      <c r="T119" s="3" t="str">
        <f>Sheet4!H119</f>
        <v xml:space="preserve"> View Map </v>
      </c>
    </row>
    <row r="120" spans="1:20" ht="15" x14ac:dyDescent="0.25">
      <c r="A120" s="1" t="s">
        <v>620</v>
      </c>
      <c r="B120" s="1" t="s">
        <v>621</v>
      </c>
      <c r="C120" s="2">
        <v>2005</v>
      </c>
      <c r="D120" s="1" t="s">
        <v>24</v>
      </c>
      <c r="E120" s="2">
        <v>1</v>
      </c>
      <c r="F120" s="1"/>
      <c r="G120" s="1"/>
      <c r="H120" s="2">
        <v>0</v>
      </c>
      <c r="I120" s="2">
        <v>15000</v>
      </c>
      <c r="J120" s="1" t="s">
        <v>622</v>
      </c>
      <c r="K120" s="2">
        <v>15000</v>
      </c>
      <c r="L120" s="1" t="s">
        <v>29</v>
      </c>
      <c r="M120" s="1" t="s">
        <v>30</v>
      </c>
      <c r="N120" s="1" t="s">
        <v>20</v>
      </c>
      <c r="O120" s="1" t="s">
        <v>43</v>
      </c>
      <c r="P120" s="1" t="s">
        <v>20</v>
      </c>
      <c r="Q120" s="1" t="s">
        <v>21</v>
      </c>
      <c r="R120" s="1" t="s">
        <v>607</v>
      </c>
      <c r="S120" s="1" t="s">
        <v>32</v>
      </c>
      <c r="T120" s="3" t="str">
        <f>Sheet4!H120</f>
        <v xml:space="preserve"> View Map </v>
      </c>
    </row>
    <row r="121" spans="1:20" ht="15" x14ac:dyDescent="0.25">
      <c r="A121" s="1" t="s">
        <v>623</v>
      </c>
      <c r="B121" s="1" t="s">
        <v>624</v>
      </c>
      <c r="C121" s="2">
        <v>2005</v>
      </c>
      <c r="D121" s="1" t="s">
        <v>24</v>
      </c>
      <c r="E121" s="2">
        <v>1</v>
      </c>
      <c r="F121" s="1" t="s">
        <v>625</v>
      </c>
      <c r="G121" s="1"/>
      <c r="H121" s="2">
        <v>3250</v>
      </c>
      <c r="I121" s="2">
        <v>115200</v>
      </c>
      <c r="J121" s="1" t="s">
        <v>626</v>
      </c>
      <c r="K121" s="2">
        <v>115200</v>
      </c>
      <c r="L121" s="1" t="s">
        <v>51</v>
      </c>
      <c r="M121" s="1" t="s">
        <v>159</v>
      </c>
      <c r="N121" s="1" t="s">
        <v>160</v>
      </c>
      <c r="O121" s="1" t="s">
        <v>199</v>
      </c>
      <c r="P121" s="1" t="s">
        <v>153</v>
      </c>
      <c r="Q121" s="1" t="s">
        <v>193</v>
      </c>
      <c r="R121" s="1" t="s">
        <v>200</v>
      </c>
      <c r="S121" s="1" t="s">
        <v>32</v>
      </c>
      <c r="T121" s="3" t="str">
        <f>Sheet4!H121</f>
        <v xml:space="preserve"> View Map </v>
      </c>
    </row>
    <row r="122" spans="1:20" ht="15" x14ac:dyDescent="0.25">
      <c r="A122" s="1" t="s">
        <v>627</v>
      </c>
      <c r="B122" s="1" t="s">
        <v>628</v>
      </c>
      <c r="C122" s="2">
        <v>2005</v>
      </c>
      <c r="D122" s="1" t="s">
        <v>24</v>
      </c>
      <c r="E122" s="2">
        <v>1</v>
      </c>
      <c r="F122" s="1" t="s">
        <v>629</v>
      </c>
      <c r="G122" s="1" t="s">
        <v>630</v>
      </c>
      <c r="H122" s="2">
        <v>4900</v>
      </c>
      <c r="I122" s="2">
        <v>62000</v>
      </c>
      <c r="J122" s="1" t="s">
        <v>631</v>
      </c>
      <c r="K122" s="2">
        <v>55000</v>
      </c>
      <c r="L122" s="1" t="s">
        <v>29</v>
      </c>
      <c r="M122" s="1" t="s">
        <v>134</v>
      </c>
      <c r="N122" s="1" t="s">
        <v>160</v>
      </c>
      <c r="O122" s="1" t="s">
        <v>587</v>
      </c>
      <c r="P122" s="1" t="s">
        <v>153</v>
      </c>
      <c r="Q122" s="1" t="s">
        <v>153</v>
      </c>
      <c r="R122" s="1" t="s">
        <v>588</v>
      </c>
      <c r="S122" s="1" t="s">
        <v>32</v>
      </c>
      <c r="T122" s="3" t="str">
        <f>Sheet4!H122</f>
        <v xml:space="preserve"> View Map </v>
      </c>
    </row>
    <row r="123" spans="1:20" ht="15" x14ac:dyDescent="0.25">
      <c r="A123" s="1" t="s">
        <v>632</v>
      </c>
      <c r="B123" s="1" t="s">
        <v>633</v>
      </c>
      <c r="C123" s="2">
        <v>2005</v>
      </c>
      <c r="D123" s="1" t="s">
        <v>24</v>
      </c>
      <c r="E123" s="2">
        <v>1</v>
      </c>
      <c r="F123" s="1" t="s">
        <v>634</v>
      </c>
      <c r="G123" s="1"/>
      <c r="H123" s="2">
        <v>0</v>
      </c>
      <c r="I123" s="2">
        <v>85000</v>
      </c>
      <c r="J123" s="1" t="s">
        <v>635</v>
      </c>
      <c r="K123" s="2">
        <v>85000</v>
      </c>
      <c r="L123" s="1" t="s">
        <v>68</v>
      </c>
      <c r="M123" s="1" t="s">
        <v>69</v>
      </c>
      <c r="N123" s="1" t="s">
        <v>322</v>
      </c>
      <c r="O123" s="1" t="s">
        <v>636</v>
      </c>
      <c r="P123" s="1" t="s">
        <v>162</v>
      </c>
      <c r="Q123" s="1" t="s">
        <v>316</v>
      </c>
      <c r="R123" s="1" t="s">
        <v>322</v>
      </c>
      <c r="S123" s="1" t="s">
        <v>32</v>
      </c>
      <c r="T123" s="3" t="str">
        <f>Sheet4!H123</f>
        <v xml:space="preserve"> View Map </v>
      </c>
    </row>
    <row r="124" spans="1:20" ht="15" x14ac:dyDescent="0.25">
      <c r="A124" s="1" t="s">
        <v>637</v>
      </c>
      <c r="B124" s="1" t="s">
        <v>638</v>
      </c>
      <c r="C124" s="2">
        <v>2005</v>
      </c>
      <c r="D124" s="1" t="s">
        <v>81</v>
      </c>
      <c r="E124" s="2">
        <v>0</v>
      </c>
      <c r="F124" s="1"/>
      <c r="G124" s="1"/>
      <c r="H124" s="2">
        <v>0</v>
      </c>
      <c r="I124" s="2">
        <v>0</v>
      </c>
      <c r="J124" s="1"/>
      <c r="K124" s="1" t="s">
        <v>28</v>
      </c>
      <c r="L124" s="1" t="s">
        <v>51</v>
      </c>
      <c r="M124" s="1" t="s">
        <v>28</v>
      </c>
      <c r="N124" s="1" t="s">
        <v>53</v>
      </c>
      <c r="O124" s="1" t="s">
        <v>28</v>
      </c>
      <c r="P124" s="1" t="s">
        <v>45</v>
      </c>
      <c r="Q124" s="1" t="s">
        <v>28</v>
      </c>
      <c r="R124" s="1" t="s">
        <v>204</v>
      </c>
      <c r="S124" s="1" t="s">
        <v>71</v>
      </c>
      <c r="T124" s="3" t="str">
        <f>Sheet4!H124</f>
        <v xml:space="preserve"> View Map </v>
      </c>
    </row>
    <row r="125" spans="1:20" ht="15" x14ac:dyDescent="0.25">
      <c r="A125" s="1" t="s">
        <v>640</v>
      </c>
      <c r="B125" s="1" t="s">
        <v>641</v>
      </c>
      <c r="C125" s="2">
        <v>2005</v>
      </c>
      <c r="D125" s="1" t="s">
        <v>24</v>
      </c>
      <c r="E125" s="2">
        <v>1</v>
      </c>
      <c r="F125" s="1" t="s">
        <v>642</v>
      </c>
      <c r="G125" s="1"/>
      <c r="H125" s="2">
        <v>0</v>
      </c>
      <c r="I125" s="2">
        <v>12000</v>
      </c>
      <c r="J125" s="1" t="s">
        <v>643</v>
      </c>
      <c r="K125" s="2">
        <v>12000</v>
      </c>
      <c r="L125" s="1" t="s">
        <v>68</v>
      </c>
      <c r="M125" s="1" t="s">
        <v>69</v>
      </c>
      <c r="N125" s="1" t="s">
        <v>72</v>
      </c>
      <c r="O125" s="1" t="s">
        <v>644</v>
      </c>
      <c r="P125" s="1" t="s">
        <v>72</v>
      </c>
      <c r="Q125" s="1" t="s">
        <v>639</v>
      </c>
      <c r="R125" s="1" t="s">
        <v>645</v>
      </c>
      <c r="S125" s="1" t="s">
        <v>32</v>
      </c>
      <c r="T125" s="3" t="str">
        <f>Sheet4!H125</f>
        <v xml:space="preserve"> View Map </v>
      </c>
    </row>
    <row r="126" spans="1:20" ht="15" x14ac:dyDescent="0.25">
      <c r="A126" s="1" t="s">
        <v>646</v>
      </c>
      <c r="B126" s="1" t="s">
        <v>647</v>
      </c>
      <c r="C126" s="2">
        <v>2021</v>
      </c>
      <c r="D126" s="1" t="s">
        <v>24</v>
      </c>
      <c r="E126" s="2">
        <v>1</v>
      </c>
      <c r="F126" s="1" t="s">
        <v>648</v>
      </c>
      <c r="G126" s="1" t="s">
        <v>649</v>
      </c>
      <c r="H126" s="2">
        <v>0</v>
      </c>
      <c r="I126" s="2">
        <v>20000</v>
      </c>
      <c r="J126" s="1" t="s">
        <v>650</v>
      </c>
      <c r="K126" s="2">
        <v>20000</v>
      </c>
      <c r="L126" s="1" t="s">
        <v>29</v>
      </c>
      <c r="M126" s="1" t="s">
        <v>30</v>
      </c>
      <c r="N126" s="1" t="s">
        <v>20</v>
      </c>
      <c r="O126" s="1" t="s">
        <v>31</v>
      </c>
      <c r="P126" s="1" t="s">
        <v>20</v>
      </c>
      <c r="Q126" s="1" t="s">
        <v>33</v>
      </c>
      <c r="R126" s="1" t="s">
        <v>38</v>
      </c>
      <c r="S126" s="1" t="s">
        <v>32</v>
      </c>
      <c r="T126" s="3" t="str">
        <f>Sheet4!H126</f>
        <v xml:space="preserve"> View Map </v>
      </c>
    </row>
    <row r="127" spans="1:20" ht="15" x14ac:dyDescent="0.25">
      <c r="A127" s="1" t="s">
        <v>651</v>
      </c>
      <c r="B127" s="1" t="s">
        <v>652</v>
      </c>
      <c r="C127" s="2">
        <v>2005</v>
      </c>
      <c r="D127" s="1" t="s">
        <v>24</v>
      </c>
      <c r="E127" s="2">
        <v>1</v>
      </c>
      <c r="F127" s="1" t="s">
        <v>653</v>
      </c>
      <c r="G127" s="1" t="s">
        <v>654</v>
      </c>
      <c r="H127" s="2">
        <v>3500</v>
      </c>
      <c r="I127" s="2">
        <v>70000</v>
      </c>
      <c r="J127" s="1" t="s">
        <v>655</v>
      </c>
      <c r="K127" s="2">
        <v>70000</v>
      </c>
      <c r="L127" s="1" t="s">
        <v>51</v>
      </c>
      <c r="M127" s="1" t="s">
        <v>159</v>
      </c>
      <c r="N127" s="1" t="s">
        <v>160</v>
      </c>
      <c r="O127" s="1" t="s">
        <v>656</v>
      </c>
      <c r="P127" s="1" t="s">
        <v>153</v>
      </c>
      <c r="Q127" s="1" t="s">
        <v>184</v>
      </c>
      <c r="R127" s="1" t="s">
        <v>370</v>
      </c>
      <c r="S127" s="1" t="s">
        <v>32</v>
      </c>
      <c r="T127" s="3" t="str">
        <f>Sheet4!H127</f>
        <v xml:space="preserve"> View Map </v>
      </c>
    </row>
    <row r="128" spans="1:20" ht="15" x14ac:dyDescent="0.25">
      <c r="A128" s="1" t="s">
        <v>657</v>
      </c>
      <c r="B128" s="1" t="s">
        <v>658</v>
      </c>
      <c r="C128" s="2">
        <v>1926</v>
      </c>
      <c r="D128" s="1" t="s">
        <v>24</v>
      </c>
      <c r="E128" s="2">
        <v>0</v>
      </c>
      <c r="F128" s="1" t="s">
        <v>659</v>
      </c>
      <c r="G128" s="1" t="s">
        <v>659</v>
      </c>
      <c r="H128" s="2">
        <v>1525</v>
      </c>
      <c r="I128" s="2">
        <v>27000</v>
      </c>
      <c r="J128" s="1" t="s">
        <v>660</v>
      </c>
      <c r="K128" s="1" t="s">
        <v>28</v>
      </c>
      <c r="L128" s="1" t="s">
        <v>51</v>
      </c>
      <c r="M128" s="1" t="s">
        <v>52</v>
      </c>
      <c r="N128" s="1" t="s">
        <v>53</v>
      </c>
      <c r="O128" s="1" t="s">
        <v>440</v>
      </c>
      <c r="P128" s="1" t="s">
        <v>45</v>
      </c>
      <c r="Q128" s="1" t="s">
        <v>146</v>
      </c>
      <c r="R128" s="1" t="s">
        <v>443</v>
      </c>
      <c r="S128" s="1" t="s">
        <v>56</v>
      </c>
      <c r="T128" s="3" t="str">
        <f>Sheet4!H128</f>
        <v xml:space="preserve"> View Map </v>
      </c>
    </row>
    <row r="129" spans="1:20" ht="15" x14ac:dyDescent="0.25">
      <c r="A129" s="1" t="s">
        <v>661</v>
      </c>
      <c r="B129" s="1" t="s">
        <v>662</v>
      </c>
      <c r="C129" s="2">
        <v>2005</v>
      </c>
      <c r="D129" s="1" t="s">
        <v>24</v>
      </c>
      <c r="E129" s="2">
        <v>0</v>
      </c>
      <c r="F129" s="1" t="s">
        <v>663</v>
      </c>
      <c r="G129" s="1" t="s">
        <v>664</v>
      </c>
      <c r="H129" s="2">
        <v>7000</v>
      </c>
      <c r="I129" s="2">
        <v>0</v>
      </c>
      <c r="J129" s="1" t="s">
        <v>665</v>
      </c>
      <c r="K129" s="1" t="s">
        <v>28</v>
      </c>
      <c r="L129" s="1" t="s">
        <v>29</v>
      </c>
      <c r="M129" s="1" t="s">
        <v>134</v>
      </c>
      <c r="N129" s="1" t="s">
        <v>160</v>
      </c>
      <c r="O129" s="1" t="s">
        <v>582</v>
      </c>
      <c r="P129" s="1" t="s">
        <v>153</v>
      </c>
      <c r="Q129" s="1" t="s">
        <v>154</v>
      </c>
      <c r="R129" s="1" t="s">
        <v>192</v>
      </c>
      <c r="S129" s="1" t="s">
        <v>32</v>
      </c>
      <c r="T129" s="3" t="str">
        <f>Sheet4!H129</f>
        <v xml:space="preserve"> View Map </v>
      </c>
    </row>
    <row r="130" spans="1:20" ht="15" x14ac:dyDescent="0.25">
      <c r="A130" s="1" t="s">
        <v>666</v>
      </c>
      <c r="B130" s="1" t="s">
        <v>667</v>
      </c>
      <c r="C130" s="2">
        <v>2021</v>
      </c>
      <c r="D130" s="1" t="s">
        <v>24</v>
      </c>
      <c r="E130" s="2">
        <v>0</v>
      </c>
      <c r="F130" s="1" t="s">
        <v>668</v>
      </c>
      <c r="G130" s="1"/>
      <c r="H130" s="2">
        <v>0</v>
      </c>
      <c r="I130" s="2">
        <v>19000</v>
      </c>
      <c r="J130" s="1" t="s">
        <v>669</v>
      </c>
      <c r="K130" s="1" t="s">
        <v>28</v>
      </c>
      <c r="L130" s="1" t="s">
        <v>51</v>
      </c>
      <c r="M130" s="1" t="s">
        <v>159</v>
      </c>
      <c r="N130" s="1" t="s">
        <v>160</v>
      </c>
      <c r="O130" s="1" t="s">
        <v>161</v>
      </c>
      <c r="P130" s="1" t="s">
        <v>153</v>
      </c>
      <c r="Q130" s="1" t="s">
        <v>154</v>
      </c>
      <c r="R130" s="1" t="s">
        <v>459</v>
      </c>
      <c r="S130" s="1" t="s">
        <v>32</v>
      </c>
      <c r="T130" s="3" t="str">
        <f>Sheet4!H130</f>
        <v xml:space="preserve"> View Map </v>
      </c>
    </row>
    <row r="131" spans="1:20" ht="15" x14ac:dyDescent="0.25">
      <c r="A131" s="1" t="s">
        <v>670</v>
      </c>
      <c r="B131" s="1" t="s">
        <v>671</v>
      </c>
      <c r="C131" s="2">
        <v>2024</v>
      </c>
      <c r="D131" s="1" t="s">
        <v>24</v>
      </c>
      <c r="E131" s="2">
        <v>1</v>
      </c>
      <c r="F131" s="1" t="s">
        <v>672</v>
      </c>
      <c r="G131" s="1" t="s">
        <v>673</v>
      </c>
      <c r="H131" s="2">
        <v>4000</v>
      </c>
      <c r="I131" s="2">
        <v>24000</v>
      </c>
      <c r="J131" s="1" t="s">
        <v>674</v>
      </c>
      <c r="K131" s="2">
        <v>24000</v>
      </c>
      <c r="L131" s="1" t="s">
        <v>29</v>
      </c>
      <c r="M131" s="1" t="s">
        <v>30</v>
      </c>
      <c r="N131" s="1" t="s">
        <v>20</v>
      </c>
      <c r="O131" s="1" t="s">
        <v>43</v>
      </c>
      <c r="P131" s="1" t="s">
        <v>20</v>
      </c>
      <c r="Q131" s="1" t="s">
        <v>33</v>
      </c>
      <c r="R131" s="1" t="s">
        <v>293</v>
      </c>
      <c r="S131" s="1" t="s">
        <v>71</v>
      </c>
      <c r="T131" s="3" t="str">
        <f>Sheet4!H131</f>
        <v xml:space="preserve"> View Map </v>
      </c>
    </row>
    <row r="132" spans="1:20" ht="15" x14ac:dyDescent="0.25">
      <c r="A132" s="1" t="s">
        <v>675</v>
      </c>
      <c r="B132" s="1" t="s">
        <v>676</v>
      </c>
      <c r="C132" s="2">
        <v>2005</v>
      </c>
      <c r="D132" s="1" t="s">
        <v>24</v>
      </c>
      <c r="E132" s="2">
        <v>1</v>
      </c>
      <c r="F132" s="1" t="s">
        <v>677</v>
      </c>
      <c r="G132" s="1"/>
      <c r="H132" s="2">
        <v>3680</v>
      </c>
      <c r="I132" s="2">
        <v>36000</v>
      </c>
      <c r="J132" s="1" t="s">
        <v>678</v>
      </c>
      <c r="K132" s="2">
        <v>36000</v>
      </c>
      <c r="L132" s="1" t="s">
        <v>51</v>
      </c>
      <c r="M132" s="1" t="s">
        <v>159</v>
      </c>
      <c r="N132" s="1" t="s">
        <v>160</v>
      </c>
      <c r="O132" s="1" t="s">
        <v>679</v>
      </c>
      <c r="P132" s="1" t="s">
        <v>153</v>
      </c>
      <c r="Q132" s="1" t="s">
        <v>193</v>
      </c>
      <c r="R132" s="1" t="s">
        <v>188</v>
      </c>
      <c r="S132" s="1" t="s">
        <v>32</v>
      </c>
      <c r="T132" s="3" t="str">
        <f>Sheet4!H132</f>
        <v xml:space="preserve"> View Map </v>
      </c>
    </row>
    <row r="133" spans="1:20" ht="15" x14ac:dyDescent="0.25">
      <c r="A133" s="1" t="s">
        <v>680</v>
      </c>
      <c r="B133" s="1" t="s">
        <v>681</v>
      </c>
      <c r="C133" s="2">
        <v>0</v>
      </c>
      <c r="D133" s="1" t="s">
        <v>24</v>
      </c>
      <c r="E133" s="2">
        <v>0</v>
      </c>
      <c r="F133" s="1" t="s">
        <v>682</v>
      </c>
      <c r="G133" s="1" t="s">
        <v>683</v>
      </c>
      <c r="H133" s="2">
        <v>0</v>
      </c>
      <c r="I133" s="2">
        <v>50000</v>
      </c>
      <c r="J133" s="1" t="s">
        <v>684</v>
      </c>
      <c r="K133" s="2">
        <v>50000</v>
      </c>
      <c r="L133" s="1" t="s">
        <v>51</v>
      </c>
      <c r="M133" s="1" t="s">
        <v>52</v>
      </c>
      <c r="N133" s="1" t="s">
        <v>53</v>
      </c>
      <c r="O133" s="1" t="s">
        <v>62</v>
      </c>
      <c r="P133" s="1" t="s">
        <v>45</v>
      </c>
      <c r="Q133" s="1" t="s">
        <v>46</v>
      </c>
      <c r="R133" s="1" t="s">
        <v>55</v>
      </c>
      <c r="S133" s="1" t="s">
        <v>71</v>
      </c>
      <c r="T133" s="3" t="str">
        <f>Sheet4!H133</f>
        <v xml:space="preserve"> View Map </v>
      </c>
    </row>
    <row r="134" spans="1:20" ht="15" x14ac:dyDescent="0.25">
      <c r="A134" s="1" t="s">
        <v>685</v>
      </c>
      <c r="B134" s="1" t="s">
        <v>686</v>
      </c>
      <c r="C134" s="2">
        <v>0</v>
      </c>
      <c r="D134" s="1" t="s">
        <v>24</v>
      </c>
      <c r="E134" s="2">
        <v>0</v>
      </c>
      <c r="F134" s="1"/>
      <c r="G134" s="1" t="s">
        <v>687</v>
      </c>
      <c r="H134" s="2">
        <v>4100</v>
      </c>
      <c r="I134" s="2">
        <v>0</v>
      </c>
      <c r="J134" s="1" t="s">
        <v>688</v>
      </c>
      <c r="K134" s="1" t="s">
        <v>28</v>
      </c>
      <c r="L134" s="1" t="s">
        <v>29</v>
      </c>
      <c r="M134" s="1" t="s">
        <v>134</v>
      </c>
      <c r="N134" s="1" t="s">
        <v>160</v>
      </c>
      <c r="O134" s="1" t="s">
        <v>187</v>
      </c>
      <c r="P134" s="1" t="s">
        <v>153</v>
      </c>
      <c r="Q134" s="1" t="s">
        <v>184</v>
      </c>
      <c r="R134" s="1" t="s">
        <v>459</v>
      </c>
      <c r="S134" s="1" t="s">
        <v>32</v>
      </c>
      <c r="T134" s="3" t="str">
        <f>Sheet4!H134</f>
        <v xml:space="preserve"> View Map </v>
      </c>
    </row>
    <row r="135" spans="1:20" ht="15" x14ac:dyDescent="0.25">
      <c r="A135" s="1" t="s">
        <v>689</v>
      </c>
      <c r="B135" s="1" t="s">
        <v>690</v>
      </c>
      <c r="C135" s="2">
        <v>2018</v>
      </c>
      <c r="D135" s="1" t="s">
        <v>24</v>
      </c>
      <c r="E135" s="2">
        <v>1</v>
      </c>
      <c r="F135" s="1" t="s">
        <v>691</v>
      </c>
      <c r="G135" s="1"/>
      <c r="H135" s="2">
        <v>518</v>
      </c>
      <c r="I135" s="2">
        <v>57000</v>
      </c>
      <c r="J135" s="1" t="s">
        <v>692</v>
      </c>
      <c r="K135" s="2">
        <v>57000</v>
      </c>
      <c r="L135" s="1" t="s">
        <v>68</v>
      </c>
      <c r="M135" s="1" t="s">
        <v>69</v>
      </c>
      <c r="N135" s="1" t="s">
        <v>162</v>
      </c>
      <c r="O135" s="1" t="s">
        <v>693</v>
      </c>
      <c r="P135" s="1" t="s">
        <v>162</v>
      </c>
      <c r="Q135" s="1" t="s">
        <v>516</v>
      </c>
      <c r="R135" s="1" t="s">
        <v>561</v>
      </c>
      <c r="S135" s="1" t="s">
        <v>71</v>
      </c>
      <c r="T135" s="3" t="str">
        <f>Sheet4!H135</f>
        <v xml:space="preserve"> View Map </v>
      </c>
    </row>
    <row r="136" spans="1:20" ht="15" x14ac:dyDescent="0.25">
      <c r="A136" s="1" t="s">
        <v>694</v>
      </c>
      <c r="B136" s="1" t="s">
        <v>695</v>
      </c>
      <c r="C136" s="2">
        <v>2021</v>
      </c>
      <c r="D136" s="1" t="s">
        <v>24</v>
      </c>
      <c r="E136" s="2">
        <v>1</v>
      </c>
      <c r="F136" s="1" t="s">
        <v>696</v>
      </c>
      <c r="G136" s="1"/>
      <c r="H136" s="2">
        <v>0</v>
      </c>
      <c r="I136" s="2">
        <v>20000</v>
      </c>
      <c r="J136" s="1" t="s">
        <v>697</v>
      </c>
      <c r="K136" s="2">
        <v>20000</v>
      </c>
      <c r="L136" s="1" t="s">
        <v>68</v>
      </c>
      <c r="M136" s="1" t="s">
        <v>69</v>
      </c>
      <c r="N136" s="1" t="s">
        <v>275</v>
      </c>
      <c r="O136" s="1" t="s">
        <v>407</v>
      </c>
      <c r="P136" s="1" t="s">
        <v>275</v>
      </c>
      <c r="Q136" s="1" t="s">
        <v>402</v>
      </c>
      <c r="R136" s="1" t="s">
        <v>275</v>
      </c>
      <c r="S136" s="1" t="s">
        <v>71</v>
      </c>
      <c r="T136" s="3" t="str">
        <f>Sheet4!H136</f>
        <v xml:space="preserve"> View Map </v>
      </c>
    </row>
    <row r="137" spans="1:20" ht="15" x14ac:dyDescent="0.25">
      <c r="A137" s="1" t="s">
        <v>698</v>
      </c>
      <c r="B137" s="1" t="s">
        <v>699</v>
      </c>
      <c r="C137" s="2">
        <v>2022</v>
      </c>
      <c r="D137" s="1" t="s">
        <v>24</v>
      </c>
      <c r="E137" s="2">
        <v>1</v>
      </c>
      <c r="F137" s="1" t="s">
        <v>700</v>
      </c>
      <c r="G137" s="1" t="s">
        <v>701</v>
      </c>
      <c r="H137" s="2">
        <v>1918</v>
      </c>
      <c r="I137" s="2">
        <v>35000</v>
      </c>
      <c r="J137" s="1" t="s">
        <v>702</v>
      </c>
      <c r="K137" s="2">
        <v>35000</v>
      </c>
      <c r="L137" s="1" t="s">
        <v>68</v>
      </c>
      <c r="M137" s="1" t="s">
        <v>69</v>
      </c>
      <c r="N137" s="1" t="s">
        <v>162</v>
      </c>
      <c r="O137" s="1" t="s">
        <v>560</v>
      </c>
      <c r="P137" s="1" t="s">
        <v>162</v>
      </c>
      <c r="Q137" s="1" t="s">
        <v>516</v>
      </c>
      <c r="R137" s="1" t="s">
        <v>162</v>
      </c>
      <c r="S137" s="1" t="s">
        <v>71</v>
      </c>
      <c r="T137" s="3" t="str">
        <f>Sheet4!H137</f>
        <v xml:space="preserve"> View Map </v>
      </c>
    </row>
    <row r="138" spans="1:20" ht="15" x14ac:dyDescent="0.25">
      <c r="A138" s="1" t="s">
        <v>703</v>
      </c>
      <c r="B138" s="1" t="s">
        <v>704</v>
      </c>
      <c r="C138" s="2">
        <v>2024</v>
      </c>
      <c r="D138" s="1" t="s">
        <v>24</v>
      </c>
      <c r="E138" s="2">
        <v>1</v>
      </c>
      <c r="F138" s="1" t="s">
        <v>705</v>
      </c>
      <c r="G138" s="1"/>
      <c r="H138" s="2">
        <v>0</v>
      </c>
      <c r="I138" s="2">
        <v>35000</v>
      </c>
      <c r="J138" s="1" t="s">
        <v>706</v>
      </c>
      <c r="K138" s="2">
        <v>35000</v>
      </c>
      <c r="L138" s="1" t="s">
        <v>68</v>
      </c>
      <c r="M138" s="1" t="s">
        <v>69</v>
      </c>
      <c r="N138" s="1" t="s">
        <v>162</v>
      </c>
      <c r="O138" s="1" t="s">
        <v>560</v>
      </c>
      <c r="P138" s="1" t="s">
        <v>162</v>
      </c>
      <c r="Q138" s="1" t="s">
        <v>516</v>
      </c>
      <c r="R138" s="1" t="s">
        <v>561</v>
      </c>
      <c r="S138" s="1" t="s">
        <v>71</v>
      </c>
      <c r="T138" s="3" t="str">
        <f>Sheet4!H138</f>
        <v xml:space="preserve"> View Map </v>
      </c>
    </row>
    <row r="139" spans="1:20" ht="15" x14ac:dyDescent="0.25">
      <c r="A139" s="1" t="s">
        <v>707</v>
      </c>
      <c r="B139" s="1" t="s">
        <v>708</v>
      </c>
      <c r="C139" s="2">
        <v>2024</v>
      </c>
      <c r="D139" s="1" t="s">
        <v>24</v>
      </c>
      <c r="E139" s="2">
        <v>1</v>
      </c>
      <c r="F139" s="1" t="s">
        <v>709</v>
      </c>
      <c r="G139" s="1" t="s">
        <v>710</v>
      </c>
      <c r="H139" s="2">
        <v>300</v>
      </c>
      <c r="I139" s="2">
        <v>100000</v>
      </c>
      <c r="J139" s="1" t="s">
        <v>711</v>
      </c>
      <c r="K139" s="2">
        <v>100000</v>
      </c>
      <c r="L139" s="1" t="s">
        <v>68</v>
      </c>
      <c r="M139" s="1" t="s">
        <v>69</v>
      </c>
      <c r="N139" s="1" t="s">
        <v>322</v>
      </c>
      <c r="O139" s="1" t="s">
        <v>712</v>
      </c>
      <c r="P139" s="1" t="s">
        <v>45</v>
      </c>
      <c r="Q139" s="1" t="s">
        <v>122</v>
      </c>
      <c r="R139" s="1" t="s">
        <v>322</v>
      </c>
      <c r="S139" s="1" t="s">
        <v>71</v>
      </c>
      <c r="T139" s="3" t="str">
        <f>Sheet4!H139</f>
        <v xml:space="preserve"> View Map </v>
      </c>
    </row>
    <row r="140" spans="1:20" ht="15" x14ac:dyDescent="0.25">
      <c r="A140" s="1" t="s">
        <v>713</v>
      </c>
      <c r="B140" s="1" t="s">
        <v>714</v>
      </c>
      <c r="C140" s="2">
        <v>2005</v>
      </c>
      <c r="D140" s="1" t="s">
        <v>24</v>
      </c>
      <c r="E140" s="2">
        <v>0</v>
      </c>
      <c r="F140" s="1" t="s">
        <v>715</v>
      </c>
      <c r="G140" s="1" t="s">
        <v>716</v>
      </c>
      <c r="H140" s="2">
        <v>8580</v>
      </c>
      <c r="I140" s="2">
        <v>33000</v>
      </c>
      <c r="J140" s="1" t="s">
        <v>717</v>
      </c>
      <c r="K140" s="2">
        <v>33000</v>
      </c>
      <c r="L140" s="1" t="s">
        <v>51</v>
      </c>
      <c r="M140" s="1" t="s">
        <v>52</v>
      </c>
      <c r="N140" s="1" t="s">
        <v>53</v>
      </c>
      <c r="O140" s="1" t="s">
        <v>84</v>
      </c>
      <c r="P140" s="1" t="s">
        <v>45</v>
      </c>
      <c r="Q140" s="1" t="s">
        <v>45</v>
      </c>
      <c r="R140" s="1" t="s">
        <v>85</v>
      </c>
      <c r="S140" s="1" t="s">
        <v>71</v>
      </c>
      <c r="T140" s="3" t="str">
        <f>Sheet4!H140</f>
        <v xml:space="preserve"> View Map </v>
      </c>
    </row>
    <row r="141" spans="1:20" ht="15" x14ac:dyDescent="0.25">
      <c r="A141" s="1" t="s">
        <v>718</v>
      </c>
      <c r="B141" s="1" t="s">
        <v>719</v>
      </c>
      <c r="C141" s="2">
        <v>2005</v>
      </c>
      <c r="D141" s="1" t="s">
        <v>24</v>
      </c>
      <c r="E141" s="2">
        <v>1</v>
      </c>
      <c r="F141" s="1" t="s">
        <v>720</v>
      </c>
      <c r="G141" s="1"/>
      <c r="H141" s="2">
        <v>5135</v>
      </c>
      <c r="I141" s="2">
        <v>110000</v>
      </c>
      <c r="J141" s="1" t="s">
        <v>721</v>
      </c>
      <c r="K141" s="2">
        <v>100000</v>
      </c>
      <c r="L141" s="1" t="s">
        <v>29</v>
      </c>
      <c r="M141" s="1" t="s">
        <v>134</v>
      </c>
      <c r="N141" s="1" t="s">
        <v>160</v>
      </c>
      <c r="O141" s="1" t="s">
        <v>582</v>
      </c>
      <c r="P141" s="1" t="s">
        <v>153</v>
      </c>
      <c r="Q141" s="1" t="s">
        <v>153</v>
      </c>
      <c r="R141" s="1" t="s">
        <v>192</v>
      </c>
      <c r="S141" s="1" t="s">
        <v>32</v>
      </c>
      <c r="T141" s="3" t="str">
        <f>Sheet4!H141</f>
        <v xml:space="preserve"> View Map </v>
      </c>
    </row>
    <row r="142" spans="1:20" ht="15" x14ac:dyDescent="0.25">
      <c r="A142" s="1" t="s">
        <v>722</v>
      </c>
      <c r="B142" s="1" t="s">
        <v>723</v>
      </c>
      <c r="C142" s="2">
        <v>2025</v>
      </c>
      <c r="D142" s="1" t="s">
        <v>24</v>
      </c>
      <c r="E142" s="2">
        <v>1</v>
      </c>
      <c r="F142" s="1" t="s">
        <v>723</v>
      </c>
      <c r="G142" s="1"/>
      <c r="H142" s="2">
        <v>1085</v>
      </c>
      <c r="I142" s="2">
        <v>24000</v>
      </c>
      <c r="J142" s="1" t="s">
        <v>724</v>
      </c>
      <c r="K142" s="2">
        <v>24000</v>
      </c>
      <c r="L142" s="1" t="s">
        <v>51</v>
      </c>
      <c r="M142" s="1" t="s">
        <v>52</v>
      </c>
      <c r="N142" s="1" t="s">
        <v>53</v>
      </c>
      <c r="O142" s="1" t="s">
        <v>412</v>
      </c>
      <c r="P142" s="1" t="s">
        <v>45</v>
      </c>
      <c r="Q142" s="1" t="s">
        <v>45</v>
      </c>
      <c r="R142" s="1" t="s">
        <v>105</v>
      </c>
      <c r="S142" s="1" t="s">
        <v>71</v>
      </c>
      <c r="T142" s="3" t="str">
        <f>Sheet4!H142</f>
        <v xml:space="preserve"> View Map </v>
      </c>
    </row>
    <row r="143" spans="1:20" ht="15" x14ac:dyDescent="0.25">
      <c r="A143" s="1" t="s">
        <v>725</v>
      </c>
      <c r="B143" s="1" t="s">
        <v>726</v>
      </c>
      <c r="C143" s="2">
        <v>2005</v>
      </c>
      <c r="D143" s="1" t="s">
        <v>24</v>
      </c>
      <c r="E143" s="2">
        <v>0</v>
      </c>
      <c r="F143" s="1"/>
      <c r="G143" s="1"/>
      <c r="H143" s="2">
        <v>0</v>
      </c>
      <c r="I143" s="2">
        <v>0</v>
      </c>
      <c r="J143" s="1"/>
      <c r="K143" s="1" t="s">
        <v>28</v>
      </c>
      <c r="L143" s="1" t="s">
        <v>51</v>
      </c>
      <c r="M143" s="1" t="s">
        <v>159</v>
      </c>
      <c r="N143" s="1" t="s">
        <v>160</v>
      </c>
      <c r="O143" s="1" t="s">
        <v>28</v>
      </c>
      <c r="P143" s="1" t="s">
        <v>162</v>
      </c>
      <c r="Q143" s="1" t="s">
        <v>28</v>
      </c>
      <c r="R143" s="1" t="s">
        <v>220</v>
      </c>
      <c r="S143" s="1" t="s">
        <v>71</v>
      </c>
      <c r="T143" s="3" t="str">
        <f>Sheet4!H143</f>
        <v xml:space="preserve"> View Map </v>
      </c>
    </row>
    <row r="144" spans="1:20" ht="15" x14ac:dyDescent="0.25">
      <c r="A144" s="1" t="s">
        <v>727</v>
      </c>
      <c r="B144" s="1" t="s">
        <v>728</v>
      </c>
      <c r="C144" s="2">
        <v>2024</v>
      </c>
      <c r="D144" s="1" t="s">
        <v>24</v>
      </c>
      <c r="E144" s="2">
        <v>1</v>
      </c>
      <c r="F144" s="1" t="s">
        <v>729</v>
      </c>
      <c r="G144" s="1" t="s">
        <v>730</v>
      </c>
      <c r="H144" s="2">
        <v>0</v>
      </c>
      <c r="I144" s="2">
        <v>65000</v>
      </c>
      <c r="J144" s="1" t="s">
        <v>731</v>
      </c>
      <c r="K144" s="2">
        <v>65000</v>
      </c>
      <c r="L144" s="1" t="s">
        <v>68</v>
      </c>
      <c r="M144" s="1" t="s">
        <v>69</v>
      </c>
      <c r="N144" s="1" t="s">
        <v>162</v>
      </c>
      <c r="O144" s="1" t="s">
        <v>732</v>
      </c>
      <c r="P144" s="1" t="s">
        <v>72</v>
      </c>
      <c r="Q144" s="1" t="s">
        <v>73</v>
      </c>
      <c r="R144" s="1" t="s">
        <v>162</v>
      </c>
      <c r="S144" s="1" t="s">
        <v>71</v>
      </c>
      <c r="T144" s="3" t="str">
        <f>Sheet4!H144</f>
        <v xml:space="preserve"> View Map </v>
      </c>
    </row>
    <row r="145" spans="1:20" ht="15" x14ac:dyDescent="0.25">
      <c r="A145" s="1" t="s">
        <v>733</v>
      </c>
      <c r="B145" s="1" t="s">
        <v>734</v>
      </c>
      <c r="C145" s="2">
        <v>2024</v>
      </c>
      <c r="D145" s="1" t="s">
        <v>24</v>
      </c>
      <c r="E145" s="2">
        <v>1</v>
      </c>
      <c r="F145" s="1" t="s">
        <v>735</v>
      </c>
      <c r="G145" s="1"/>
      <c r="H145" s="2">
        <v>0</v>
      </c>
      <c r="I145" s="2">
        <v>20000</v>
      </c>
      <c r="J145" s="1" t="s">
        <v>736</v>
      </c>
      <c r="K145" s="2">
        <v>20000</v>
      </c>
      <c r="L145" s="1" t="s">
        <v>29</v>
      </c>
      <c r="M145" s="1" t="s">
        <v>30</v>
      </c>
      <c r="N145" s="1" t="s">
        <v>20</v>
      </c>
      <c r="O145" s="1" t="s">
        <v>737</v>
      </c>
      <c r="P145" s="1" t="s">
        <v>20</v>
      </c>
      <c r="Q145" s="1" t="s">
        <v>179</v>
      </c>
      <c r="R145" s="1" t="s">
        <v>738</v>
      </c>
      <c r="S145" s="1" t="s">
        <v>32</v>
      </c>
      <c r="T145" s="3" t="str">
        <f>Sheet4!H145</f>
        <v xml:space="preserve"> View Map </v>
      </c>
    </row>
    <row r="146" spans="1:20" ht="15" x14ac:dyDescent="0.25">
      <c r="A146" s="1" t="s">
        <v>739</v>
      </c>
      <c r="B146" s="1" t="s">
        <v>740</v>
      </c>
      <c r="C146" s="2">
        <v>2021</v>
      </c>
      <c r="D146" s="1" t="s">
        <v>24</v>
      </c>
      <c r="E146" s="2">
        <v>1</v>
      </c>
      <c r="F146" s="1" t="s">
        <v>741</v>
      </c>
      <c r="G146" s="1"/>
      <c r="H146" s="2">
        <v>1381</v>
      </c>
      <c r="I146" s="2">
        <v>70000</v>
      </c>
      <c r="J146" s="1" t="s">
        <v>742</v>
      </c>
      <c r="K146" s="2">
        <v>70000</v>
      </c>
      <c r="L146" s="1" t="s">
        <v>29</v>
      </c>
      <c r="M146" s="1" t="s">
        <v>30</v>
      </c>
      <c r="N146" s="1" t="s">
        <v>20</v>
      </c>
      <c r="O146" s="1" t="s">
        <v>31</v>
      </c>
      <c r="P146" s="1" t="s">
        <v>20</v>
      </c>
      <c r="Q146" s="1" t="s">
        <v>33</v>
      </c>
      <c r="R146" s="1" t="s">
        <v>90</v>
      </c>
      <c r="S146" s="1" t="s">
        <v>32</v>
      </c>
      <c r="T146" s="3" t="str">
        <f>Sheet4!H146</f>
        <v xml:space="preserve"> View Map </v>
      </c>
    </row>
    <row r="147" spans="1:20" ht="15" x14ac:dyDescent="0.25">
      <c r="A147" s="1" t="s">
        <v>743</v>
      </c>
      <c r="B147" s="1" t="s">
        <v>744</v>
      </c>
      <c r="C147" s="2">
        <v>2024</v>
      </c>
      <c r="D147" s="1" t="s">
        <v>24</v>
      </c>
      <c r="E147" s="2">
        <v>1</v>
      </c>
      <c r="F147" s="1" t="s">
        <v>745</v>
      </c>
      <c r="G147" s="1" t="s">
        <v>745</v>
      </c>
      <c r="H147" s="2">
        <v>4800</v>
      </c>
      <c r="I147" s="2">
        <v>36500</v>
      </c>
      <c r="J147" s="1" t="s">
        <v>746</v>
      </c>
      <c r="K147" s="2">
        <v>36500</v>
      </c>
      <c r="L147" s="1" t="s">
        <v>29</v>
      </c>
      <c r="M147" s="1" t="s">
        <v>134</v>
      </c>
      <c r="N147" s="1" t="s">
        <v>160</v>
      </c>
      <c r="O147" s="1" t="s">
        <v>587</v>
      </c>
      <c r="P147" s="1" t="s">
        <v>153</v>
      </c>
      <c r="Q147" s="1" t="s">
        <v>153</v>
      </c>
      <c r="R147" s="1" t="s">
        <v>588</v>
      </c>
      <c r="S147" s="1" t="s">
        <v>71</v>
      </c>
      <c r="T147" s="3" t="str">
        <f>Sheet4!H147</f>
        <v xml:space="preserve"> View Map </v>
      </c>
    </row>
    <row r="148" spans="1:20" ht="15" x14ac:dyDescent="0.25">
      <c r="A148" s="1" t="s">
        <v>747</v>
      </c>
      <c r="B148" s="1" t="s">
        <v>748</v>
      </c>
      <c r="C148" s="2">
        <v>2024</v>
      </c>
      <c r="D148" s="1" t="s">
        <v>24</v>
      </c>
      <c r="E148" s="2">
        <v>0</v>
      </c>
      <c r="F148" s="1" t="s">
        <v>749</v>
      </c>
      <c r="G148" s="1"/>
      <c r="H148" s="2">
        <v>0</v>
      </c>
      <c r="I148" s="2">
        <v>10500</v>
      </c>
      <c r="J148" s="1" t="s">
        <v>750</v>
      </c>
      <c r="K148" s="2">
        <v>10500</v>
      </c>
      <c r="L148" s="1" t="s">
        <v>29</v>
      </c>
      <c r="M148" s="1" t="s">
        <v>30</v>
      </c>
      <c r="N148" s="1" t="s">
        <v>20</v>
      </c>
      <c r="O148" s="1" t="s">
        <v>737</v>
      </c>
      <c r="P148" s="1" t="s">
        <v>20</v>
      </c>
      <c r="Q148" s="1" t="s">
        <v>179</v>
      </c>
      <c r="R148" s="1" t="s">
        <v>738</v>
      </c>
      <c r="S148" s="1" t="s">
        <v>32</v>
      </c>
      <c r="T148" s="3" t="str">
        <f>Sheet4!H148</f>
        <v xml:space="preserve"> View Map </v>
      </c>
    </row>
    <row r="149" spans="1:20" ht="15" x14ac:dyDescent="0.25">
      <c r="A149" s="1" t="s">
        <v>751</v>
      </c>
      <c r="B149" s="1" t="s">
        <v>752</v>
      </c>
      <c r="C149" s="2">
        <v>2005</v>
      </c>
      <c r="D149" s="1" t="s">
        <v>81</v>
      </c>
      <c r="E149" s="2">
        <v>0</v>
      </c>
      <c r="F149" s="1"/>
      <c r="G149" s="1"/>
      <c r="H149" s="2">
        <v>0</v>
      </c>
      <c r="I149" s="2">
        <v>0</v>
      </c>
      <c r="J149" s="1"/>
      <c r="K149" s="1" t="s">
        <v>28</v>
      </c>
      <c r="L149" s="1" t="s">
        <v>51</v>
      </c>
      <c r="M149" s="1" t="s">
        <v>28</v>
      </c>
      <c r="N149" s="1" t="s">
        <v>146</v>
      </c>
      <c r="O149" s="1" t="s">
        <v>28</v>
      </c>
      <c r="P149" s="1" t="s">
        <v>45</v>
      </c>
      <c r="Q149" s="1" t="s">
        <v>28</v>
      </c>
      <c r="R149" s="1" t="s">
        <v>343</v>
      </c>
      <c r="S149" s="1" t="s">
        <v>56</v>
      </c>
      <c r="T149" s="3" t="str">
        <f>Sheet4!H149</f>
        <v xml:space="preserve"> View Map </v>
      </c>
    </row>
    <row r="150" spans="1:20" ht="15" x14ac:dyDescent="0.25">
      <c r="A150" s="1" t="s">
        <v>753</v>
      </c>
      <c r="B150" s="1" t="s">
        <v>754</v>
      </c>
      <c r="C150" s="1" t="s">
        <v>28</v>
      </c>
      <c r="D150" s="1" t="s">
        <v>24</v>
      </c>
      <c r="E150" s="2">
        <v>1</v>
      </c>
      <c r="F150" s="1" t="s">
        <v>755</v>
      </c>
      <c r="G150" s="1"/>
      <c r="H150" s="2">
        <v>0</v>
      </c>
      <c r="I150" s="2">
        <v>32000</v>
      </c>
      <c r="J150" s="1" t="s">
        <v>756</v>
      </c>
      <c r="K150" s="1" t="s">
        <v>28</v>
      </c>
      <c r="L150" s="1" t="s">
        <v>68</v>
      </c>
      <c r="M150" s="1" t="s">
        <v>69</v>
      </c>
      <c r="N150" s="1" t="s">
        <v>162</v>
      </c>
      <c r="O150" s="1" t="s">
        <v>757</v>
      </c>
      <c r="P150" s="1" t="s">
        <v>162</v>
      </c>
      <c r="Q150" s="1" t="s">
        <v>311</v>
      </c>
      <c r="R150" s="1" t="s">
        <v>162</v>
      </c>
      <c r="S150" s="1" t="s">
        <v>32</v>
      </c>
      <c r="T150" s="3" t="str">
        <f>Sheet4!H150</f>
        <v xml:space="preserve"> View Map </v>
      </c>
    </row>
    <row r="151" spans="1:20" ht="15" x14ac:dyDescent="0.25">
      <c r="A151" s="1" t="s">
        <v>758</v>
      </c>
      <c r="B151" s="1" t="s">
        <v>759</v>
      </c>
      <c r="C151" s="2">
        <v>2005</v>
      </c>
      <c r="D151" s="1" t="s">
        <v>24</v>
      </c>
      <c r="E151" s="2">
        <v>1</v>
      </c>
      <c r="F151" s="1" t="s">
        <v>760</v>
      </c>
      <c r="G151" s="1"/>
      <c r="H151" s="2">
        <v>0</v>
      </c>
      <c r="I151" s="2">
        <v>44000</v>
      </c>
      <c r="J151" s="1" t="s">
        <v>761</v>
      </c>
      <c r="K151" s="2">
        <v>44000</v>
      </c>
      <c r="L151" s="1" t="s">
        <v>51</v>
      </c>
      <c r="M151" s="1" t="s">
        <v>52</v>
      </c>
      <c r="N151" s="1" t="s">
        <v>53</v>
      </c>
      <c r="O151" s="1" t="s">
        <v>440</v>
      </c>
      <c r="P151" s="1" t="s">
        <v>45</v>
      </c>
      <c r="Q151" s="1" t="s">
        <v>146</v>
      </c>
      <c r="R151" s="1" t="s">
        <v>443</v>
      </c>
      <c r="S151" s="1" t="s">
        <v>56</v>
      </c>
      <c r="T151" s="3" t="str">
        <f>Sheet4!H151</f>
        <v xml:space="preserve"> View Map </v>
      </c>
    </row>
    <row r="152" spans="1:20" ht="15" x14ac:dyDescent="0.25">
      <c r="A152" s="1" t="s">
        <v>762</v>
      </c>
      <c r="B152" s="1" t="s">
        <v>763</v>
      </c>
      <c r="C152" s="2">
        <v>2005</v>
      </c>
      <c r="D152" s="1" t="s">
        <v>24</v>
      </c>
      <c r="E152" s="2">
        <v>1</v>
      </c>
      <c r="F152" s="1" t="s">
        <v>764</v>
      </c>
      <c r="G152" s="1" t="s">
        <v>257</v>
      </c>
      <c r="H152" s="2">
        <v>4300</v>
      </c>
      <c r="I152" s="2">
        <v>11500</v>
      </c>
      <c r="J152" s="1" t="s">
        <v>765</v>
      </c>
      <c r="K152" s="2">
        <v>11500</v>
      </c>
      <c r="L152" s="1" t="s">
        <v>29</v>
      </c>
      <c r="M152" s="1" t="s">
        <v>30</v>
      </c>
      <c r="N152" s="1" t="s">
        <v>20</v>
      </c>
      <c r="O152" s="1" t="s">
        <v>173</v>
      </c>
      <c r="P152" s="1" t="s">
        <v>20</v>
      </c>
      <c r="Q152" s="1" t="s">
        <v>179</v>
      </c>
      <c r="R152" s="1" t="s">
        <v>259</v>
      </c>
      <c r="S152" s="1" t="s">
        <v>32</v>
      </c>
      <c r="T152" s="3" t="str">
        <f>Sheet4!H152</f>
        <v xml:space="preserve"> View Map </v>
      </c>
    </row>
    <row r="153" spans="1:20" ht="15" x14ac:dyDescent="0.25">
      <c r="A153" s="1" t="s">
        <v>766</v>
      </c>
      <c r="B153" s="1" t="s">
        <v>767</v>
      </c>
      <c r="C153" s="2">
        <v>2005</v>
      </c>
      <c r="D153" s="1" t="s">
        <v>24</v>
      </c>
      <c r="E153" s="2">
        <v>0</v>
      </c>
      <c r="F153" s="1" t="s">
        <v>768</v>
      </c>
      <c r="G153" s="1"/>
      <c r="H153" s="2">
        <v>0</v>
      </c>
      <c r="I153" s="2">
        <v>16000</v>
      </c>
      <c r="J153" s="1" t="s">
        <v>769</v>
      </c>
      <c r="K153" s="1" t="s">
        <v>28</v>
      </c>
      <c r="L153" s="1" t="s">
        <v>68</v>
      </c>
      <c r="M153" s="1" t="s">
        <v>69</v>
      </c>
      <c r="N153" s="1" t="s">
        <v>162</v>
      </c>
      <c r="O153" s="1" t="s">
        <v>770</v>
      </c>
      <c r="P153" s="1" t="s">
        <v>162</v>
      </c>
      <c r="Q153" s="1" t="s">
        <v>506</v>
      </c>
      <c r="R153" s="1" t="s">
        <v>162</v>
      </c>
      <c r="S153" s="1" t="s">
        <v>32</v>
      </c>
      <c r="T153" s="3" t="str">
        <f>Sheet4!H153</f>
        <v xml:space="preserve"> View Map </v>
      </c>
    </row>
    <row r="154" spans="1:20" ht="15" x14ac:dyDescent="0.25">
      <c r="A154" s="1" t="s">
        <v>771</v>
      </c>
      <c r="B154" s="1" t="s">
        <v>772</v>
      </c>
      <c r="C154" s="2">
        <v>2024</v>
      </c>
      <c r="D154" s="1" t="s">
        <v>24</v>
      </c>
      <c r="E154" s="2">
        <v>1</v>
      </c>
      <c r="F154" s="1" t="s">
        <v>772</v>
      </c>
      <c r="G154" s="1"/>
      <c r="H154" s="2">
        <v>850</v>
      </c>
      <c r="I154" s="2">
        <v>35000</v>
      </c>
      <c r="J154" s="1" t="s">
        <v>773</v>
      </c>
      <c r="K154" s="2">
        <v>35000</v>
      </c>
      <c r="L154" s="1" t="s">
        <v>51</v>
      </c>
      <c r="M154" s="1" t="s">
        <v>52</v>
      </c>
      <c r="N154" s="1" t="s">
        <v>53</v>
      </c>
      <c r="O154" s="1" t="s">
        <v>774</v>
      </c>
      <c r="P154" s="1" t="s">
        <v>45</v>
      </c>
      <c r="Q154" s="1" t="s">
        <v>53</v>
      </c>
      <c r="R154" s="1" t="s">
        <v>105</v>
      </c>
      <c r="S154" s="1" t="s">
        <v>71</v>
      </c>
      <c r="T154" s="3" t="str">
        <f>Sheet4!H154</f>
        <v xml:space="preserve"> View Map </v>
      </c>
    </row>
    <row r="155" spans="1:20" ht="15" x14ac:dyDescent="0.25">
      <c r="A155" s="1" t="s">
        <v>775</v>
      </c>
      <c r="B155" s="1" t="s">
        <v>776</v>
      </c>
      <c r="C155" s="2">
        <v>2005</v>
      </c>
      <c r="D155" s="1" t="s">
        <v>24</v>
      </c>
      <c r="E155" s="2">
        <v>1</v>
      </c>
      <c r="F155" s="1" t="s">
        <v>777</v>
      </c>
      <c r="G155" s="1"/>
      <c r="H155" s="2">
        <v>0</v>
      </c>
      <c r="I155" s="2">
        <v>42000</v>
      </c>
      <c r="J155" s="1" t="s">
        <v>778</v>
      </c>
      <c r="K155" s="2">
        <v>42000</v>
      </c>
      <c r="L155" s="1" t="s">
        <v>29</v>
      </c>
      <c r="M155" s="1" t="s">
        <v>134</v>
      </c>
      <c r="N155" s="1" t="s">
        <v>160</v>
      </c>
      <c r="O155" s="1" t="s">
        <v>219</v>
      </c>
      <c r="P155" s="1" t="s">
        <v>153</v>
      </c>
      <c r="Q155" s="1" t="s">
        <v>153</v>
      </c>
      <c r="R155" s="1" t="s">
        <v>588</v>
      </c>
      <c r="S155" s="1" t="s">
        <v>32</v>
      </c>
      <c r="T155" s="3" t="str">
        <f>Sheet4!H155</f>
        <v xml:space="preserve"> View Map </v>
      </c>
    </row>
    <row r="156" spans="1:20" ht="15" x14ac:dyDescent="0.25">
      <c r="A156" s="1" t="s">
        <v>779</v>
      </c>
      <c r="B156" s="1" t="s">
        <v>780</v>
      </c>
      <c r="C156" s="2">
        <v>2005</v>
      </c>
      <c r="D156" s="1" t="s">
        <v>24</v>
      </c>
      <c r="E156" s="2">
        <v>1</v>
      </c>
      <c r="F156" s="1" t="s">
        <v>781</v>
      </c>
      <c r="G156" s="1"/>
      <c r="H156" s="2">
        <v>0</v>
      </c>
      <c r="I156" s="2">
        <v>40000</v>
      </c>
      <c r="J156" s="1" t="s">
        <v>782</v>
      </c>
      <c r="K156" s="2">
        <v>40000</v>
      </c>
      <c r="L156" s="1" t="s">
        <v>68</v>
      </c>
      <c r="M156" s="1" t="s">
        <v>69</v>
      </c>
      <c r="N156" s="1" t="s">
        <v>322</v>
      </c>
      <c r="O156" s="1" t="s">
        <v>783</v>
      </c>
      <c r="P156" s="1" t="s">
        <v>162</v>
      </c>
      <c r="Q156" s="1" t="s">
        <v>316</v>
      </c>
      <c r="R156" s="1" t="s">
        <v>784</v>
      </c>
      <c r="S156" s="1" t="s">
        <v>32</v>
      </c>
      <c r="T156" s="3" t="str">
        <f>Sheet4!H156</f>
        <v xml:space="preserve"> View Map </v>
      </c>
    </row>
    <row r="157" spans="1:20" ht="15" x14ac:dyDescent="0.25">
      <c r="A157" s="1" t="s">
        <v>785</v>
      </c>
      <c r="B157" s="1" t="s">
        <v>786</v>
      </c>
      <c r="C157" s="2">
        <v>2005</v>
      </c>
      <c r="D157" s="1" t="s">
        <v>24</v>
      </c>
      <c r="E157" s="2">
        <v>1</v>
      </c>
      <c r="F157" s="1"/>
      <c r="G157" s="1"/>
      <c r="H157" s="2">
        <v>4500</v>
      </c>
      <c r="I157" s="2">
        <v>27500</v>
      </c>
      <c r="J157" s="1" t="s">
        <v>787</v>
      </c>
      <c r="K157" s="2">
        <v>27500</v>
      </c>
      <c r="L157" s="1" t="s">
        <v>29</v>
      </c>
      <c r="M157" s="1" t="s">
        <v>30</v>
      </c>
      <c r="N157" s="1" t="s">
        <v>20</v>
      </c>
      <c r="O157" s="1" t="s">
        <v>173</v>
      </c>
      <c r="P157" s="1" t="s">
        <v>20</v>
      </c>
      <c r="Q157" s="1" t="s">
        <v>179</v>
      </c>
      <c r="R157" s="1" t="s">
        <v>259</v>
      </c>
      <c r="S157" s="1" t="s">
        <v>32</v>
      </c>
      <c r="T157" s="3" t="str">
        <f>Sheet4!H157</f>
        <v xml:space="preserve"> View Map </v>
      </c>
    </row>
    <row r="158" spans="1:20" ht="15" x14ac:dyDescent="0.25">
      <c r="A158" s="1" t="s">
        <v>788</v>
      </c>
      <c r="B158" s="1" t="s">
        <v>789</v>
      </c>
      <c r="C158" s="2">
        <v>2020</v>
      </c>
      <c r="D158" s="1" t="s">
        <v>24</v>
      </c>
      <c r="E158" s="2">
        <v>1</v>
      </c>
      <c r="F158" s="1" t="s">
        <v>790</v>
      </c>
      <c r="G158" s="1"/>
      <c r="H158" s="2">
        <v>0</v>
      </c>
      <c r="I158" s="2">
        <v>83500</v>
      </c>
      <c r="J158" s="1" t="s">
        <v>791</v>
      </c>
      <c r="K158" s="2">
        <v>83500</v>
      </c>
      <c r="L158" s="1" t="s">
        <v>68</v>
      </c>
      <c r="M158" s="1" t="s">
        <v>69</v>
      </c>
      <c r="N158" s="1" t="s">
        <v>162</v>
      </c>
      <c r="O158" s="1" t="s">
        <v>167</v>
      </c>
      <c r="P158" s="1" t="s">
        <v>162</v>
      </c>
      <c r="Q158" s="1" t="s">
        <v>311</v>
      </c>
      <c r="R158" s="1" t="s">
        <v>162</v>
      </c>
      <c r="S158" s="1" t="s">
        <v>71</v>
      </c>
      <c r="T158" s="3" t="str">
        <f>Sheet4!H158</f>
        <v xml:space="preserve"> View Map </v>
      </c>
    </row>
    <row r="159" spans="1:20" ht="15" x14ac:dyDescent="0.25">
      <c r="A159" s="1" t="s">
        <v>792</v>
      </c>
      <c r="B159" s="1" t="s">
        <v>793</v>
      </c>
      <c r="C159" s="2">
        <v>2005</v>
      </c>
      <c r="D159" s="1" t="s">
        <v>24</v>
      </c>
      <c r="E159" s="2">
        <v>1</v>
      </c>
      <c r="F159" s="1" t="s">
        <v>794</v>
      </c>
      <c r="G159" s="1"/>
      <c r="H159" s="2">
        <v>350</v>
      </c>
      <c r="I159" s="2">
        <v>50000</v>
      </c>
      <c r="J159" s="1" t="s">
        <v>795</v>
      </c>
      <c r="K159" s="2">
        <v>50000</v>
      </c>
      <c r="L159" s="1" t="s">
        <v>68</v>
      </c>
      <c r="M159" s="1" t="s">
        <v>69</v>
      </c>
      <c r="N159" s="1" t="s">
        <v>162</v>
      </c>
      <c r="O159" s="1" t="s">
        <v>770</v>
      </c>
      <c r="P159" s="1" t="s">
        <v>162</v>
      </c>
      <c r="Q159" s="1" t="s">
        <v>506</v>
      </c>
      <c r="R159" s="1" t="s">
        <v>162</v>
      </c>
      <c r="S159" s="1" t="s">
        <v>32</v>
      </c>
      <c r="T159" s="3" t="str">
        <f>Sheet4!H159</f>
        <v xml:space="preserve"> View Map </v>
      </c>
    </row>
    <row r="160" spans="1:20" ht="15" x14ac:dyDescent="0.25">
      <c r="A160" s="1" t="s">
        <v>796</v>
      </c>
      <c r="B160" s="1" t="s">
        <v>797</v>
      </c>
      <c r="C160" s="2">
        <v>2005</v>
      </c>
      <c r="D160" s="1" t="s">
        <v>24</v>
      </c>
      <c r="E160" s="2">
        <v>0</v>
      </c>
      <c r="F160" s="1"/>
      <c r="G160" s="1"/>
      <c r="H160" s="2">
        <v>0</v>
      </c>
      <c r="I160" s="2">
        <v>0</v>
      </c>
      <c r="J160" s="1"/>
      <c r="K160" s="1" t="s">
        <v>28</v>
      </c>
      <c r="L160" s="1" t="s">
        <v>68</v>
      </c>
      <c r="M160" s="1" t="s">
        <v>69</v>
      </c>
      <c r="N160" s="1" t="s">
        <v>322</v>
      </c>
      <c r="O160" s="1" t="s">
        <v>28</v>
      </c>
      <c r="P160" s="1" t="s">
        <v>45</v>
      </c>
      <c r="Q160" s="1" t="s">
        <v>28</v>
      </c>
      <c r="R160" s="1" t="s">
        <v>322</v>
      </c>
      <c r="S160" s="1" t="s">
        <v>71</v>
      </c>
      <c r="T160" s="3" t="str">
        <f>Sheet4!H160</f>
        <v xml:space="preserve"> View Map </v>
      </c>
    </row>
    <row r="161" spans="1:20" ht="15" x14ac:dyDescent="0.25">
      <c r="A161" s="1" t="s">
        <v>798</v>
      </c>
      <c r="B161" s="1" t="s">
        <v>799</v>
      </c>
      <c r="C161" s="2">
        <v>2021</v>
      </c>
      <c r="D161" s="1" t="s">
        <v>24</v>
      </c>
      <c r="E161" s="2">
        <v>1</v>
      </c>
      <c r="F161" s="1" t="s">
        <v>800</v>
      </c>
      <c r="G161" s="1"/>
      <c r="H161" s="2">
        <v>1330</v>
      </c>
      <c r="I161" s="2">
        <v>125000</v>
      </c>
      <c r="J161" s="1" t="s">
        <v>801</v>
      </c>
      <c r="K161" s="2">
        <v>125000</v>
      </c>
      <c r="L161" s="1" t="s">
        <v>29</v>
      </c>
      <c r="M161" s="1" t="s">
        <v>30</v>
      </c>
      <c r="N161" s="1" t="s">
        <v>20</v>
      </c>
      <c r="O161" s="1" t="s">
        <v>173</v>
      </c>
      <c r="P161" s="1" t="s">
        <v>20</v>
      </c>
      <c r="Q161" s="1" t="s">
        <v>179</v>
      </c>
      <c r="R161" s="1" t="s">
        <v>738</v>
      </c>
      <c r="S161" s="1" t="s">
        <v>32</v>
      </c>
      <c r="T161" s="3" t="str">
        <f>Sheet4!H161</f>
        <v xml:space="preserve"> View Map </v>
      </c>
    </row>
    <row r="162" spans="1:20" ht="15" x14ac:dyDescent="0.25">
      <c r="A162" s="1" t="s">
        <v>802</v>
      </c>
      <c r="B162" s="1" t="s">
        <v>803</v>
      </c>
      <c r="C162" s="2">
        <v>2021</v>
      </c>
      <c r="D162" s="1" t="s">
        <v>24</v>
      </c>
      <c r="E162" s="2">
        <v>1</v>
      </c>
      <c r="F162" s="1" t="s">
        <v>804</v>
      </c>
      <c r="G162" s="1"/>
      <c r="H162" s="2">
        <v>0</v>
      </c>
      <c r="I162" s="2">
        <v>35000</v>
      </c>
      <c r="J162" s="1" t="s">
        <v>805</v>
      </c>
      <c r="K162" s="2">
        <v>35000</v>
      </c>
      <c r="L162" s="1" t="s">
        <v>68</v>
      </c>
      <c r="M162" s="1" t="s">
        <v>69</v>
      </c>
      <c r="N162" s="1" t="s">
        <v>275</v>
      </c>
      <c r="O162" s="1" t="s">
        <v>407</v>
      </c>
      <c r="P162" s="1" t="s">
        <v>275</v>
      </c>
      <c r="Q162" s="1" t="s">
        <v>275</v>
      </c>
      <c r="R162" s="1" t="s">
        <v>275</v>
      </c>
      <c r="S162" s="1" t="s">
        <v>32</v>
      </c>
      <c r="T162" s="3" t="str">
        <f>Sheet4!H162</f>
        <v xml:space="preserve"> View Map </v>
      </c>
    </row>
    <row r="163" spans="1:20" ht="15" x14ac:dyDescent="0.25">
      <c r="A163" s="1" t="s">
        <v>806</v>
      </c>
      <c r="B163" s="1" t="s">
        <v>807</v>
      </c>
      <c r="C163" s="2">
        <v>2005</v>
      </c>
      <c r="D163" s="1" t="s">
        <v>24</v>
      </c>
      <c r="E163" s="2">
        <v>1</v>
      </c>
      <c r="F163" s="1" t="s">
        <v>571</v>
      </c>
      <c r="G163" s="1"/>
      <c r="H163" s="2">
        <v>0</v>
      </c>
      <c r="I163" s="2">
        <v>40000</v>
      </c>
      <c r="J163" s="1" t="s">
        <v>808</v>
      </c>
      <c r="K163" s="2">
        <v>40000</v>
      </c>
      <c r="L163" s="1" t="s">
        <v>29</v>
      </c>
      <c r="M163" s="1" t="s">
        <v>30</v>
      </c>
      <c r="N163" s="1" t="s">
        <v>20</v>
      </c>
      <c r="O163" s="1" t="s">
        <v>173</v>
      </c>
      <c r="P163" s="1" t="s">
        <v>20</v>
      </c>
      <c r="Q163" s="1" t="s">
        <v>179</v>
      </c>
      <c r="R163" s="1" t="s">
        <v>259</v>
      </c>
      <c r="S163" s="1" t="s">
        <v>32</v>
      </c>
      <c r="T163" s="3" t="str">
        <f>Sheet4!H163</f>
        <v xml:space="preserve"> View Map </v>
      </c>
    </row>
    <row r="164" spans="1:20" ht="15" x14ac:dyDescent="0.25">
      <c r="A164" s="1" t="s">
        <v>809</v>
      </c>
      <c r="B164" s="1" t="s">
        <v>810</v>
      </c>
      <c r="C164" s="2">
        <v>2005</v>
      </c>
      <c r="D164" s="1" t="s">
        <v>24</v>
      </c>
      <c r="E164" s="2">
        <v>0</v>
      </c>
      <c r="F164" s="1"/>
      <c r="G164" s="1"/>
      <c r="H164" s="2">
        <v>0</v>
      </c>
      <c r="I164" s="2">
        <v>0</v>
      </c>
      <c r="J164" s="1"/>
      <c r="K164" s="1" t="s">
        <v>28</v>
      </c>
      <c r="L164" s="1" t="s">
        <v>51</v>
      </c>
      <c r="M164" s="1" t="s">
        <v>52</v>
      </c>
      <c r="N164" s="1" t="s">
        <v>146</v>
      </c>
      <c r="O164" s="1" t="s">
        <v>28</v>
      </c>
      <c r="P164" s="1" t="s">
        <v>45</v>
      </c>
      <c r="Q164" s="1" t="s">
        <v>28</v>
      </c>
      <c r="R164" s="1" t="s">
        <v>343</v>
      </c>
      <c r="S164" s="1" t="s">
        <v>71</v>
      </c>
      <c r="T164" s="3" t="str">
        <f>Sheet4!H164</f>
        <v xml:space="preserve"> View Map </v>
      </c>
    </row>
    <row r="165" spans="1:20" ht="15" x14ac:dyDescent="0.25">
      <c r="A165" s="1" t="s">
        <v>812</v>
      </c>
      <c r="B165" s="1" t="s">
        <v>813</v>
      </c>
      <c r="C165" s="2">
        <v>2005</v>
      </c>
      <c r="D165" s="1" t="s">
        <v>24</v>
      </c>
      <c r="E165" s="2">
        <v>0</v>
      </c>
      <c r="F165" s="1"/>
      <c r="G165" s="1"/>
      <c r="H165" s="2">
        <v>0</v>
      </c>
      <c r="I165" s="2">
        <v>0</v>
      </c>
      <c r="J165" s="1" t="s">
        <v>814</v>
      </c>
      <c r="K165" s="1" t="s">
        <v>28</v>
      </c>
      <c r="L165" s="1" t="s">
        <v>68</v>
      </c>
      <c r="M165" s="1" t="s">
        <v>69</v>
      </c>
      <c r="N165" s="1" t="s">
        <v>72</v>
      </c>
      <c r="O165" s="1" t="s">
        <v>550</v>
      </c>
      <c r="P165" s="1" t="s">
        <v>72</v>
      </c>
      <c r="Q165" s="1" t="s">
        <v>811</v>
      </c>
      <c r="R165" s="1" t="s">
        <v>72</v>
      </c>
      <c r="S165" s="1" t="s">
        <v>32</v>
      </c>
      <c r="T165" s="3" t="str">
        <f>Sheet4!H165</f>
        <v xml:space="preserve"> View Map </v>
      </c>
    </row>
    <row r="166" spans="1:20" ht="15" x14ac:dyDescent="0.25">
      <c r="A166" s="1" t="s">
        <v>815</v>
      </c>
      <c r="B166" s="1" t="s">
        <v>816</v>
      </c>
      <c r="C166" s="2">
        <v>2005</v>
      </c>
      <c r="D166" s="1" t="s">
        <v>24</v>
      </c>
      <c r="E166" s="2">
        <v>0</v>
      </c>
      <c r="F166" s="1"/>
      <c r="G166" s="1"/>
      <c r="H166" s="2">
        <v>0</v>
      </c>
      <c r="I166" s="2">
        <v>0</v>
      </c>
      <c r="J166" s="1"/>
      <c r="K166" s="1" t="s">
        <v>28</v>
      </c>
      <c r="L166" s="1" t="s">
        <v>68</v>
      </c>
      <c r="M166" s="1" t="s">
        <v>69</v>
      </c>
      <c r="N166" s="1" t="s">
        <v>322</v>
      </c>
      <c r="O166" s="1" t="s">
        <v>28</v>
      </c>
      <c r="P166" s="1" t="s">
        <v>45</v>
      </c>
      <c r="Q166" s="1" t="s">
        <v>28</v>
      </c>
      <c r="R166" s="1" t="s">
        <v>322</v>
      </c>
      <c r="S166" s="1" t="s">
        <v>32</v>
      </c>
      <c r="T166" s="3" t="str">
        <f>Sheet4!H166</f>
        <v xml:space="preserve"> View Map </v>
      </c>
    </row>
    <row r="167" spans="1:20" ht="15" x14ac:dyDescent="0.25">
      <c r="A167" s="1" t="s">
        <v>817</v>
      </c>
      <c r="B167" s="1" t="s">
        <v>818</v>
      </c>
      <c r="C167" s="2">
        <v>2021</v>
      </c>
      <c r="D167" s="1" t="s">
        <v>24</v>
      </c>
      <c r="E167" s="2">
        <v>1</v>
      </c>
      <c r="F167" s="1" t="s">
        <v>819</v>
      </c>
      <c r="G167" s="1"/>
      <c r="H167" s="2">
        <v>0</v>
      </c>
      <c r="I167" s="2">
        <v>125000</v>
      </c>
      <c r="J167" s="1" t="s">
        <v>820</v>
      </c>
      <c r="K167" s="1" t="s">
        <v>28</v>
      </c>
      <c r="L167" s="1" t="s">
        <v>29</v>
      </c>
      <c r="M167" s="1" t="s">
        <v>30</v>
      </c>
      <c r="N167" s="1" t="s">
        <v>20</v>
      </c>
      <c r="O167" s="1" t="s">
        <v>173</v>
      </c>
      <c r="P167" s="1" t="s">
        <v>20</v>
      </c>
      <c r="Q167" s="1" t="s">
        <v>562</v>
      </c>
      <c r="R167" s="1" t="s">
        <v>738</v>
      </c>
      <c r="S167" s="1" t="s">
        <v>32</v>
      </c>
      <c r="T167" s="3" t="str">
        <f>Sheet4!H167</f>
        <v xml:space="preserve"> View Map </v>
      </c>
    </row>
    <row r="168" spans="1:20" ht="15" x14ac:dyDescent="0.25">
      <c r="A168" s="1" t="s">
        <v>821</v>
      </c>
      <c r="B168" s="1" t="s">
        <v>822</v>
      </c>
      <c r="C168" s="2">
        <v>2024</v>
      </c>
      <c r="D168" s="1" t="s">
        <v>24</v>
      </c>
      <c r="E168" s="2">
        <v>1</v>
      </c>
      <c r="F168" s="1" t="s">
        <v>823</v>
      </c>
      <c r="G168" s="1" t="s">
        <v>823</v>
      </c>
      <c r="H168" s="2">
        <v>540</v>
      </c>
      <c r="I168" s="2">
        <v>5000</v>
      </c>
      <c r="J168" s="1" t="s">
        <v>824</v>
      </c>
      <c r="K168" s="1" t="s">
        <v>28</v>
      </c>
      <c r="L168" s="1" t="s">
        <v>68</v>
      </c>
      <c r="M168" s="1" t="s">
        <v>69</v>
      </c>
      <c r="N168" s="1" t="s">
        <v>146</v>
      </c>
      <c r="O168" s="1" t="s">
        <v>825</v>
      </c>
      <c r="P168" s="1" t="s">
        <v>45</v>
      </c>
      <c r="Q168" s="1" t="s">
        <v>146</v>
      </c>
      <c r="R168" s="1" t="s">
        <v>105</v>
      </c>
      <c r="S168" s="1" t="s">
        <v>71</v>
      </c>
      <c r="T168" s="3" t="str">
        <f>Sheet4!H168</f>
        <v xml:space="preserve"> View Map </v>
      </c>
    </row>
    <row r="169" spans="1:20" ht="15" x14ac:dyDescent="0.25">
      <c r="A169" s="1" t="s">
        <v>826</v>
      </c>
      <c r="B169" s="1" t="s">
        <v>827</v>
      </c>
      <c r="C169" s="2">
        <v>2016</v>
      </c>
      <c r="D169" s="1" t="s">
        <v>24</v>
      </c>
      <c r="E169" s="2">
        <v>0</v>
      </c>
      <c r="F169" s="1" t="s">
        <v>828</v>
      </c>
      <c r="G169" s="1" t="s">
        <v>829</v>
      </c>
      <c r="H169" s="2">
        <v>800</v>
      </c>
      <c r="I169" s="2">
        <v>40000</v>
      </c>
      <c r="J169" s="1" t="s">
        <v>830</v>
      </c>
      <c r="K169" s="2">
        <v>40000</v>
      </c>
      <c r="L169" s="1" t="s">
        <v>68</v>
      </c>
      <c r="M169" s="1" t="s">
        <v>69</v>
      </c>
      <c r="N169" s="1" t="s">
        <v>322</v>
      </c>
      <c r="O169" s="1" t="s">
        <v>831</v>
      </c>
      <c r="P169" s="1" t="s">
        <v>45</v>
      </c>
      <c r="Q169" s="1" t="s">
        <v>122</v>
      </c>
      <c r="R169" s="1" t="s">
        <v>322</v>
      </c>
      <c r="S169" s="1" t="s">
        <v>71</v>
      </c>
      <c r="T169" s="3" t="str">
        <f>Sheet4!H169</f>
        <v xml:space="preserve"> View Map </v>
      </c>
    </row>
    <row r="170" spans="1:20" ht="15" x14ac:dyDescent="0.25">
      <c r="A170" s="1" t="s">
        <v>832</v>
      </c>
      <c r="B170" s="1" t="s">
        <v>833</v>
      </c>
      <c r="C170" s="2">
        <v>2005</v>
      </c>
      <c r="D170" s="1" t="s">
        <v>24</v>
      </c>
      <c r="E170" s="2">
        <v>1</v>
      </c>
      <c r="F170" s="1" t="s">
        <v>834</v>
      </c>
      <c r="G170" s="1"/>
      <c r="H170" s="2">
        <v>0</v>
      </c>
      <c r="I170" s="2">
        <v>12000</v>
      </c>
      <c r="J170" s="1" t="s">
        <v>835</v>
      </c>
      <c r="K170" s="2">
        <v>12000</v>
      </c>
      <c r="L170" s="1" t="s">
        <v>29</v>
      </c>
      <c r="M170" s="1" t="s">
        <v>134</v>
      </c>
      <c r="N170" s="1" t="s">
        <v>162</v>
      </c>
      <c r="O170" s="1" t="s">
        <v>560</v>
      </c>
      <c r="P170" s="1" t="s">
        <v>162</v>
      </c>
      <c r="Q170" s="1" t="s">
        <v>516</v>
      </c>
      <c r="R170" s="1" t="s">
        <v>220</v>
      </c>
      <c r="S170" s="1" t="s">
        <v>32</v>
      </c>
      <c r="T170" s="3" t="str">
        <f>Sheet4!H170</f>
        <v xml:space="preserve"> View Map </v>
      </c>
    </row>
    <row r="171" spans="1:20" ht="15" x14ac:dyDescent="0.25">
      <c r="A171" s="1" t="s">
        <v>836</v>
      </c>
      <c r="B171" s="1" t="s">
        <v>837</v>
      </c>
      <c r="C171" s="2">
        <v>2016</v>
      </c>
      <c r="D171" s="1" t="s">
        <v>24</v>
      </c>
      <c r="E171" s="2">
        <v>1</v>
      </c>
      <c r="F171" s="1" t="s">
        <v>838</v>
      </c>
      <c r="G171" s="1"/>
      <c r="H171" s="2">
        <v>100</v>
      </c>
      <c r="I171" s="2">
        <v>80000</v>
      </c>
      <c r="J171" s="1" t="s">
        <v>839</v>
      </c>
      <c r="K171" s="2">
        <v>80000</v>
      </c>
      <c r="L171" s="1" t="s">
        <v>68</v>
      </c>
      <c r="M171" s="1" t="s">
        <v>69</v>
      </c>
      <c r="N171" s="1" t="s">
        <v>275</v>
      </c>
      <c r="O171" s="1" t="s">
        <v>354</v>
      </c>
      <c r="P171" s="1" t="s">
        <v>275</v>
      </c>
      <c r="Q171" s="1" t="s">
        <v>348</v>
      </c>
      <c r="R171" s="1" t="s">
        <v>275</v>
      </c>
      <c r="S171" s="1" t="s">
        <v>71</v>
      </c>
      <c r="T171" s="3" t="str">
        <f>Sheet4!H171</f>
        <v xml:space="preserve"> View Map </v>
      </c>
    </row>
    <row r="172" spans="1:20" ht="15" x14ac:dyDescent="0.25">
      <c r="A172" s="1" t="s">
        <v>840</v>
      </c>
      <c r="B172" s="1" t="s">
        <v>841</v>
      </c>
      <c r="C172" s="2">
        <v>0</v>
      </c>
      <c r="D172" s="1" t="s">
        <v>24</v>
      </c>
      <c r="E172" s="2">
        <v>1</v>
      </c>
      <c r="F172" s="1" t="s">
        <v>842</v>
      </c>
      <c r="G172" s="1"/>
      <c r="H172" s="2">
        <v>0</v>
      </c>
      <c r="I172" s="2">
        <v>92000</v>
      </c>
      <c r="J172" s="1" t="s">
        <v>843</v>
      </c>
      <c r="K172" s="2">
        <v>92000</v>
      </c>
      <c r="L172" s="1" t="s">
        <v>29</v>
      </c>
      <c r="M172" s="1" t="s">
        <v>30</v>
      </c>
      <c r="N172" s="1" t="s">
        <v>20</v>
      </c>
      <c r="O172" s="1" t="s">
        <v>43</v>
      </c>
      <c r="P172" s="1" t="s">
        <v>20</v>
      </c>
      <c r="Q172" s="1" t="s">
        <v>21</v>
      </c>
      <c r="R172" s="1" t="s">
        <v>44</v>
      </c>
      <c r="S172" s="1" t="s">
        <v>32</v>
      </c>
      <c r="T172" s="3" t="str">
        <f>Sheet4!H172</f>
        <v xml:space="preserve"> View Map </v>
      </c>
    </row>
    <row r="173" spans="1:20" ht="15" x14ac:dyDescent="0.25">
      <c r="A173" s="1" t="s">
        <v>844</v>
      </c>
      <c r="B173" s="1" t="s">
        <v>845</v>
      </c>
      <c r="C173" s="2">
        <v>2021</v>
      </c>
      <c r="D173" s="1" t="s">
        <v>24</v>
      </c>
      <c r="E173" s="2">
        <v>0</v>
      </c>
      <c r="F173" s="1" t="s">
        <v>846</v>
      </c>
      <c r="G173" s="1"/>
      <c r="H173" s="2">
        <v>4700</v>
      </c>
      <c r="I173" s="2">
        <v>4750</v>
      </c>
      <c r="J173" s="1" t="s">
        <v>847</v>
      </c>
      <c r="K173" s="1" t="s">
        <v>28</v>
      </c>
      <c r="L173" s="1" t="s">
        <v>29</v>
      </c>
      <c r="M173" s="1" t="s">
        <v>134</v>
      </c>
      <c r="N173" s="1" t="s">
        <v>160</v>
      </c>
      <c r="O173" s="1" t="s">
        <v>679</v>
      </c>
      <c r="P173" s="1" t="s">
        <v>153</v>
      </c>
      <c r="Q173" s="1" t="s">
        <v>193</v>
      </c>
      <c r="R173" s="1" t="s">
        <v>370</v>
      </c>
      <c r="S173" s="1" t="s">
        <v>32</v>
      </c>
      <c r="T173" s="3" t="str">
        <f>Sheet4!H173</f>
        <v xml:space="preserve"> View Map </v>
      </c>
    </row>
    <row r="174" spans="1:20" ht="15" x14ac:dyDescent="0.25">
      <c r="A174" s="1" t="s">
        <v>848</v>
      </c>
      <c r="B174" s="1" t="s">
        <v>849</v>
      </c>
      <c r="C174" s="2">
        <v>1933</v>
      </c>
      <c r="D174" s="1" t="s">
        <v>24</v>
      </c>
      <c r="E174" s="2">
        <v>1</v>
      </c>
      <c r="F174" s="1" t="s">
        <v>850</v>
      </c>
      <c r="G174" s="1" t="s">
        <v>850</v>
      </c>
      <c r="H174" s="2">
        <v>1312</v>
      </c>
      <c r="I174" s="2">
        <v>39100</v>
      </c>
      <c r="J174" s="1" t="s">
        <v>851</v>
      </c>
      <c r="K174" s="2">
        <v>39100</v>
      </c>
      <c r="L174" s="1" t="s">
        <v>51</v>
      </c>
      <c r="M174" s="1" t="s">
        <v>159</v>
      </c>
      <c r="N174" s="1" t="s">
        <v>160</v>
      </c>
      <c r="O174" s="1" t="s">
        <v>161</v>
      </c>
      <c r="P174" s="1" t="s">
        <v>153</v>
      </c>
      <c r="Q174" s="1" t="s">
        <v>154</v>
      </c>
      <c r="R174" s="1" t="s">
        <v>459</v>
      </c>
      <c r="S174" s="1" t="s">
        <v>71</v>
      </c>
      <c r="T174" s="3" t="str">
        <f>Sheet4!H174</f>
        <v xml:space="preserve"> View Map </v>
      </c>
    </row>
    <row r="175" spans="1:20" ht="15" x14ac:dyDescent="0.25">
      <c r="A175" s="1" t="s">
        <v>852</v>
      </c>
      <c r="B175" s="1" t="s">
        <v>853</v>
      </c>
      <c r="C175" s="2">
        <v>2005</v>
      </c>
      <c r="D175" s="1" t="s">
        <v>24</v>
      </c>
      <c r="E175" s="2">
        <v>0</v>
      </c>
      <c r="F175" s="1" t="s">
        <v>854</v>
      </c>
      <c r="G175" s="1"/>
      <c r="H175" s="2">
        <v>0</v>
      </c>
      <c r="I175" s="2">
        <v>30000</v>
      </c>
      <c r="J175" s="1" t="s">
        <v>855</v>
      </c>
      <c r="K175" s="1" t="s">
        <v>28</v>
      </c>
      <c r="L175" s="1" t="s">
        <v>68</v>
      </c>
      <c r="M175" s="1" t="s">
        <v>69</v>
      </c>
      <c r="N175" s="1" t="s">
        <v>275</v>
      </c>
      <c r="O175" s="1" t="s">
        <v>297</v>
      </c>
      <c r="P175" s="1" t="s">
        <v>275</v>
      </c>
      <c r="Q175" s="1" t="s">
        <v>275</v>
      </c>
      <c r="R175" s="1" t="s">
        <v>275</v>
      </c>
      <c r="S175" s="1" t="s">
        <v>32</v>
      </c>
      <c r="T175" s="3" t="str">
        <f>Sheet4!H175</f>
        <v xml:space="preserve"> View Map </v>
      </c>
    </row>
    <row r="176" spans="1:20" ht="15" x14ac:dyDescent="0.25">
      <c r="A176" s="1" t="s">
        <v>856</v>
      </c>
      <c r="B176" s="1" t="s">
        <v>857</v>
      </c>
      <c r="C176" s="2">
        <v>2021</v>
      </c>
      <c r="D176" s="1" t="s">
        <v>24</v>
      </c>
      <c r="E176" s="2">
        <v>1</v>
      </c>
      <c r="F176" s="1" t="s">
        <v>858</v>
      </c>
      <c r="G176" s="1"/>
      <c r="H176" s="2">
        <v>0</v>
      </c>
      <c r="I176" s="2">
        <v>45000</v>
      </c>
      <c r="J176" s="1" t="s">
        <v>859</v>
      </c>
      <c r="K176" s="2">
        <v>45000</v>
      </c>
      <c r="L176" s="1" t="s">
        <v>51</v>
      </c>
      <c r="M176" s="1" t="s">
        <v>52</v>
      </c>
      <c r="N176" s="1" t="s">
        <v>53</v>
      </c>
      <c r="O176" s="1" t="s">
        <v>110</v>
      </c>
      <c r="P176" s="1" t="s">
        <v>45</v>
      </c>
      <c r="Q176" s="1" t="s">
        <v>53</v>
      </c>
      <c r="R176" s="1" t="s">
        <v>85</v>
      </c>
      <c r="S176" s="1" t="s">
        <v>56</v>
      </c>
      <c r="T176" s="3" t="str">
        <f>Sheet4!H176</f>
        <v xml:space="preserve"> View Map </v>
      </c>
    </row>
    <row r="177" spans="1:20" ht="15" x14ac:dyDescent="0.25">
      <c r="A177" s="1" t="s">
        <v>860</v>
      </c>
      <c r="B177" s="1" t="s">
        <v>861</v>
      </c>
      <c r="C177" s="2">
        <v>2018</v>
      </c>
      <c r="D177" s="1" t="s">
        <v>24</v>
      </c>
      <c r="E177" s="2">
        <v>1</v>
      </c>
      <c r="F177" s="1" t="s">
        <v>862</v>
      </c>
      <c r="G177" s="1" t="s">
        <v>863</v>
      </c>
      <c r="H177" s="2">
        <v>0</v>
      </c>
      <c r="I177" s="2">
        <v>55000</v>
      </c>
      <c r="J177" s="1" t="s">
        <v>864</v>
      </c>
      <c r="K177" s="2">
        <v>38000</v>
      </c>
      <c r="L177" s="1" t="s">
        <v>51</v>
      </c>
      <c r="M177" s="1" t="s">
        <v>52</v>
      </c>
      <c r="N177" s="1" t="s">
        <v>53</v>
      </c>
      <c r="O177" s="1" t="s">
        <v>62</v>
      </c>
      <c r="P177" s="1" t="s">
        <v>45</v>
      </c>
      <c r="Q177" s="1" t="s">
        <v>46</v>
      </c>
      <c r="R177" s="1" t="s">
        <v>55</v>
      </c>
      <c r="S177" s="1" t="s">
        <v>71</v>
      </c>
      <c r="T177" s="3" t="str">
        <f>Sheet4!H177</f>
        <v xml:space="preserve"> View Map </v>
      </c>
    </row>
    <row r="178" spans="1:20" ht="15" x14ac:dyDescent="0.25">
      <c r="A178" s="1" t="s">
        <v>865</v>
      </c>
      <c r="B178" s="1" t="s">
        <v>866</v>
      </c>
      <c r="C178" s="2">
        <v>2005</v>
      </c>
      <c r="D178" s="1" t="s">
        <v>24</v>
      </c>
      <c r="E178" s="2">
        <v>0</v>
      </c>
      <c r="F178" s="1"/>
      <c r="G178" s="1"/>
      <c r="H178" s="2">
        <v>0</v>
      </c>
      <c r="I178" s="2">
        <v>0</v>
      </c>
      <c r="J178" s="1"/>
      <c r="K178" s="1" t="s">
        <v>28</v>
      </c>
      <c r="L178" s="1" t="s">
        <v>51</v>
      </c>
      <c r="M178" s="1" t="s">
        <v>52</v>
      </c>
      <c r="N178" s="1" t="s">
        <v>53</v>
      </c>
      <c r="O178" s="1" t="s">
        <v>127</v>
      </c>
      <c r="P178" s="1" t="s">
        <v>45</v>
      </c>
      <c r="Q178" s="1" t="s">
        <v>122</v>
      </c>
      <c r="R178" s="1" t="s">
        <v>128</v>
      </c>
      <c r="S178" s="1" t="s">
        <v>71</v>
      </c>
      <c r="T178" s="3" t="str">
        <f>Sheet4!H178</f>
        <v xml:space="preserve"> View Map </v>
      </c>
    </row>
    <row r="179" spans="1:20" ht="15" x14ac:dyDescent="0.25">
      <c r="A179" s="1" t="s">
        <v>867</v>
      </c>
      <c r="B179" s="1" t="s">
        <v>868</v>
      </c>
      <c r="C179" s="2">
        <v>2005</v>
      </c>
      <c r="D179" s="1" t="s">
        <v>24</v>
      </c>
      <c r="E179" s="2">
        <v>1</v>
      </c>
      <c r="F179" s="1" t="s">
        <v>869</v>
      </c>
      <c r="G179" s="1" t="s">
        <v>870</v>
      </c>
      <c r="H179" s="2">
        <v>5000</v>
      </c>
      <c r="I179" s="2">
        <v>35000</v>
      </c>
      <c r="J179" s="1" t="s">
        <v>871</v>
      </c>
      <c r="K179" s="2">
        <v>35000</v>
      </c>
      <c r="L179" s="1" t="s">
        <v>29</v>
      </c>
      <c r="M179" s="1" t="s">
        <v>30</v>
      </c>
      <c r="N179" s="1" t="s">
        <v>20</v>
      </c>
      <c r="O179" s="1" t="s">
        <v>43</v>
      </c>
      <c r="P179" s="1" t="s">
        <v>20</v>
      </c>
      <c r="Q179" s="1" t="s">
        <v>21</v>
      </c>
      <c r="R179" s="1" t="s">
        <v>293</v>
      </c>
      <c r="S179" s="1" t="s">
        <v>32</v>
      </c>
      <c r="T179" s="3" t="str">
        <f>Sheet4!H179</f>
        <v xml:space="preserve"> View Map </v>
      </c>
    </row>
    <row r="180" spans="1:20" ht="15" x14ac:dyDescent="0.25">
      <c r="A180" s="1" t="s">
        <v>872</v>
      </c>
      <c r="B180" s="1" t="s">
        <v>873</v>
      </c>
      <c r="C180" s="2">
        <v>2016</v>
      </c>
      <c r="D180" s="1" t="s">
        <v>24</v>
      </c>
      <c r="E180" s="2">
        <v>1</v>
      </c>
      <c r="F180" s="1" t="s">
        <v>874</v>
      </c>
      <c r="G180" s="1"/>
      <c r="H180" s="2">
        <v>2087</v>
      </c>
      <c r="I180" s="2">
        <v>35000</v>
      </c>
      <c r="J180" s="1" t="s">
        <v>875</v>
      </c>
      <c r="K180" s="2">
        <v>23000</v>
      </c>
      <c r="L180" s="1" t="s">
        <v>51</v>
      </c>
      <c r="M180" s="1" t="s">
        <v>52</v>
      </c>
      <c r="N180" s="1" t="s">
        <v>146</v>
      </c>
      <c r="O180" s="1" t="s">
        <v>876</v>
      </c>
      <c r="P180" s="1" t="s">
        <v>45</v>
      </c>
      <c r="Q180" s="1" t="s">
        <v>146</v>
      </c>
      <c r="R180" s="1" t="s">
        <v>343</v>
      </c>
      <c r="S180" s="1" t="s">
        <v>71</v>
      </c>
      <c r="T180" s="3" t="str">
        <f>Sheet4!H180</f>
        <v xml:space="preserve"> View Map </v>
      </c>
    </row>
    <row r="181" spans="1:20" ht="15" x14ac:dyDescent="0.25">
      <c r="A181" s="1" t="s">
        <v>877</v>
      </c>
      <c r="B181" s="1" t="s">
        <v>878</v>
      </c>
      <c r="C181" s="2">
        <v>0</v>
      </c>
      <c r="D181" s="1" t="s">
        <v>24</v>
      </c>
      <c r="E181" s="2">
        <v>1</v>
      </c>
      <c r="F181" s="1" t="s">
        <v>879</v>
      </c>
      <c r="G181" s="1" t="s">
        <v>880</v>
      </c>
      <c r="H181" s="2">
        <v>1289</v>
      </c>
      <c r="I181" s="2">
        <v>61500</v>
      </c>
      <c r="J181" s="1" t="s">
        <v>881</v>
      </c>
      <c r="K181" s="2">
        <v>61500</v>
      </c>
      <c r="L181" s="1" t="s">
        <v>29</v>
      </c>
      <c r="M181" s="1" t="s">
        <v>30</v>
      </c>
      <c r="N181" s="1" t="s">
        <v>20</v>
      </c>
      <c r="O181" s="1" t="s">
        <v>43</v>
      </c>
      <c r="P181" s="1" t="s">
        <v>20</v>
      </c>
      <c r="Q181" s="1" t="s">
        <v>21</v>
      </c>
      <c r="R181" s="1" t="s">
        <v>607</v>
      </c>
      <c r="S181" s="1" t="s">
        <v>32</v>
      </c>
      <c r="T181" s="3" t="str">
        <f>Sheet4!H181</f>
        <v xml:space="preserve"> View Map </v>
      </c>
    </row>
    <row r="182" spans="1:20" ht="15" x14ac:dyDescent="0.25">
      <c r="A182" s="1" t="s">
        <v>882</v>
      </c>
      <c r="B182" s="1" t="s">
        <v>883</v>
      </c>
      <c r="C182" s="2">
        <v>2005</v>
      </c>
      <c r="D182" s="1" t="s">
        <v>24</v>
      </c>
      <c r="E182" s="2">
        <v>1</v>
      </c>
      <c r="F182" s="1"/>
      <c r="G182" s="1" t="s">
        <v>884</v>
      </c>
      <c r="H182" s="2">
        <v>3560</v>
      </c>
      <c r="I182" s="2">
        <v>38000</v>
      </c>
      <c r="J182" s="1" t="s">
        <v>885</v>
      </c>
      <c r="K182" s="2">
        <v>38000</v>
      </c>
      <c r="L182" s="1" t="s">
        <v>29</v>
      </c>
      <c r="M182" s="1" t="s">
        <v>30</v>
      </c>
      <c r="N182" s="1" t="s">
        <v>20</v>
      </c>
      <c r="O182" s="1" t="s">
        <v>43</v>
      </c>
      <c r="P182" s="1" t="s">
        <v>20</v>
      </c>
      <c r="Q182" s="1" t="s">
        <v>21</v>
      </c>
      <c r="R182" s="1" t="s">
        <v>607</v>
      </c>
      <c r="S182" s="1" t="s">
        <v>32</v>
      </c>
      <c r="T182" s="3" t="str">
        <f>Sheet4!H182</f>
        <v xml:space="preserve"> View Map </v>
      </c>
    </row>
    <row r="183" spans="1:20" ht="15" x14ac:dyDescent="0.25">
      <c r="A183" s="1" t="s">
        <v>886</v>
      </c>
      <c r="B183" s="1" t="s">
        <v>887</v>
      </c>
      <c r="C183" s="2">
        <v>2005</v>
      </c>
      <c r="D183" s="1" t="s">
        <v>24</v>
      </c>
      <c r="E183" s="2">
        <v>1</v>
      </c>
      <c r="F183" s="1" t="s">
        <v>888</v>
      </c>
      <c r="G183" s="1"/>
      <c r="H183" s="2">
        <v>0</v>
      </c>
      <c r="I183" s="2">
        <v>60000</v>
      </c>
      <c r="J183" s="1" t="s">
        <v>889</v>
      </c>
      <c r="K183" s="2">
        <v>60000</v>
      </c>
      <c r="L183" s="1" t="s">
        <v>68</v>
      </c>
      <c r="M183" s="1" t="s">
        <v>69</v>
      </c>
      <c r="N183" s="1" t="s">
        <v>162</v>
      </c>
      <c r="O183" s="1" t="s">
        <v>560</v>
      </c>
      <c r="P183" s="1" t="s">
        <v>304</v>
      </c>
      <c r="Q183" s="1" t="s">
        <v>432</v>
      </c>
      <c r="R183" s="1" t="s">
        <v>162</v>
      </c>
      <c r="S183" s="1" t="s">
        <v>32</v>
      </c>
      <c r="T183" s="3" t="str">
        <f>Sheet4!H183</f>
        <v xml:space="preserve"> View Map </v>
      </c>
    </row>
    <row r="184" spans="1:20" ht="15" x14ac:dyDescent="0.25">
      <c r="A184" s="1" t="s">
        <v>890</v>
      </c>
      <c r="B184" s="1" t="s">
        <v>179</v>
      </c>
      <c r="C184" s="2">
        <v>2015</v>
      </c>
      <c r="D184" s="1" t="s">
        <v>24</v>
      </c>
      <c r="E184" s="2">
        <v>1</v>
      </c>
      <c r="F184" s="1" t="s">
        <v>179</v>
      </c>
      <c r="G184" s="1"/>
      <c r="H184" s="2">
        <v>0</v>
      </c>
      <c r="I184" s="2">
        <v>73750</v>
      </c>
      <c r="J184" s="1" t="s">
        <v>891</v>
      </c>
      <c r="K184" s="2">
        <v>73750</v>
      </c>
      <c r="L184" s="1" t="s">
        <v>29</v>
      </c>
      <c r="M184" s="1" t="s">
        <v>30</v>
      </c>
      <c r="N184" s="1" t="s">
        <v>20</v>
      </c>
      <c r="O184" s="1" t="s">
        <v>173</v>
      </c>
      <c r="P184" s="1" t="s">
        <v>20</v>
      </c>
      <c r="Q184" s="1" t="s">
        <v>179</v>
      </c>
      <c r="R184" s="1" t="s">
        <v>259</v>
      </c>
      <c r="S184" s="1" t="s">
        <v>32</v>
      </c>
      <c r="T184" s="3" t="str">
        <f>Sheet4!H184</f>
        <v xml:space="preserve"> View Map </v>
      </c>
    </row>
    <row r="185" spans="1:20" ht="15" x14ac:dyDescent="0.25">
      <c r="A185" s="1" t="s">
        <v>892</v>
      </c>
      <c r="B185" s="1" t="s">
        <v>893</v>
      </c>
      <c r="C185" s="2">
        <v>2005</v>
      </c>
      <c r="D185" s="1" t="s">
        <v>24</v>
      </c>
      <c r="E185" s="2">
        <v>1</v>
      </c>
      <c r="F185" s="1" t="s">
        <v>894</v>
      </c>
      <c r="G185" s="1"/>
      <c r="H185" s="2">
        <v>0</v>
      </c>
      <c r="I185" s="2">
        <v>151000</v>
      </c>
      <c r="J185" s="1" t="s">
        <v>895</v>
      </c>
      <c r="K185" s="2">
        <v>151000</v>
      </c>
      <c r="L185" s="1" t="s">
        <v>51</v>
      </c>
      <c r="M185" s="1" t="s">
        <v>52</v>
      </c>
      <c r="N185" s="1" t="s">
        <v>20</v>
      </c>
      <c r="O185" s="1" t="s">
        <v>70</v>
      </c>
      <c r="P185" s="1" t="s">
        <v>45</v>
      </c>
      <c r="Q185" s="1" t="s">
        <v>46</v>
      </c>
      <c r="R185" s="1" t="s">
        <v>85</v>
      </c>
      <c r="S185" s="1" t="s">
        <v>32</v>
      </c>
      <c r="T185" s="3" t="str">
        <f>Sheet4!H185</f>
        <v xml:space="preserve"> View Map </v>
      </c>
    </row>
    <row r="186" spans="1:20" ht="15" x14ac:dyDescent="0.25">
      <c r="A186" s="1" t="s">
        <v>896</v>
      </c>
      <c r="B186" s="1" t="s">
        <v>897</v>
      </c>
      <c r="C186" s="2">
        <v>2020</v>
      </c>
      <c r="D186" s="1" t="s">
        <v>24</v>
      </c>
      <c r="E186" s="2">
        <v>1</v>
      </c>
      <c r="F186" s="1" t="s">
        <v>898</v>
      </c>
      <c r="G186" s="1" t="s">
        <v>899</v>
      </c>
      <c r="H186" s="2">
        <v>1067</v>
      </c>
      <c r="I186" s="2">
        <v>12000</v>
      </c>
      <c r="J186" s="1" t="s">
        <v>900</v>
      </c>
      <c r="K186" s="1" t="s">
        <v>28</v>
      </c>
      <c r="L186" s="1" t="s">
        <v>51</v>
      </c>
      <c r="M186" s="1" t="s">
        <v>52</v>
      </c>
      <c r="N186" s="1" t="s">
        <v>20</v>
      </c>
      <c r="O186" s="1" t="s">
        <v>70</v>
      </c>
      <c r="P186" s="1" t="s">
        <v>45</v>
      </c>
      <c r="Q186" s="1" t="s">
        <v>45</v>
      </c>
      <c r="R186" s="1" t="s">
        <v>85</v>
      </c>
      <c r="S186" s="1" t="s">
        <v>32</v>
      </c>
      <c r="T186" s="3" t="str">
        <f>Sheet4!H186</f>
        <v xml:space="preserve"> View Map </v>
      </c>
    </row>
    <row r="187" spans="1:20" ht="15" x14ac:dyDescent="0.25">
      <c r="A187" s="1" t="s">
        <v>901</v>
      </c>
      <c r="B187" s="1" t="s">
        <v>902</v>
      </c>
      <c r="C187" s="2">
        <v>2021</v>
      </c>
      <c r="D187" s="1" t="s">
        <v>24</v>
      </c>
      <c r="E187" s="2">
        <v>1</v>
      </c>
      <c r="F187" s="1" t="s">
        <v>903</v>
      </c>
      <c r="G187" s="1"/>
      <c r="H187" s="2">
        <v>0</v>
      </c>
      <c r="I187" s="2">
        <v>70000</v>
      </c>
      <c r="J187" s="1" t="s">
        <v>904</v>
      </c>
      <c r="K187" s="2">
        <v>70000</v>
      </c>
      <c r="L187" s="1" t="s">
        <v>51</v>
      </c>
      <c r="M187" s="1" t="s">
        <v>52</v>
      </c>
      <c r="N187" s="1" t="s">
        <v>20</v>
      </c>
      <c r="O187" s="1" t="s">
        <v>173</v>
      </c>
      <c r="P187" s="1" t="s">
        <v>20</v>
      </c>
      <c r="Q187" s="1" t="s">
        <v>168</v>
      </c>
      <c r="R187" s="1" t="s">
        <v>738</v>
      </c>
      <c r="S187" s="1" t="s">
        <v>32</v>
      </c>
      <c r="T187" s="3" t="str">
        <f>Sheet4!H187</f>
        <v xml:space="preserve"> View Map </v>
      </c>
    </row>
    <row r="188" spans="1:20" ht="15" x14ac:dyDescent="0.25">
      <c r="A188" s="1" t="s">
        <v>905</v>
      </c>
      <c r="B188" s="1" t="s">
        <v>906</v>
      </c>
      <c r="C188" s="2">
        <v>2005</v>
      </c>
      <c r="D188" s="1" t="s">
        <v>24</v>
      </c>
      <c r="E188" s="2">
        <v>0</v>
      </c>
      <c r="F188" s="1"/>
      <c r="G188" s="1"/>
      <c r="H188" s="2">
        <v>0</v>
      </c>
      <c r="I188" s="2">
        <v>0</v>
      </c>
      <c r="J188" s="1" t="s">
        <v>907</v>
      </c>
      <c r="K188" s="1" t="s">
        <v>28</v>
      </c>
      <c r="L188" s="1" t="s">
        <v>51</v>
      </c>
      <c r="M188" s="1" t="s">
        <v>159</v>
      </c>
      <c r="N188" s="1" t="s">
        <v>160</v>
      </c>
      <c r="O188" s="1" t="s">
        <v>28</v>
      </c>
      <c r="P188" s="1" t="s">
        <v>153</v>
      </c>
      <c r="Q188" s="1" t="s">
        <v>28</v>
      </c>
      <c r="R188" s="1" t="s">
        <v>370</v>
      </c>
      <c r="S188" s="1" t="s">
        <v>32</v>
      </c>
      <c r="T188" s="3" t="str">
        <f>Sheet4!H188</f>
        <v xml:space="preserve"> View Map </v>
      </c>
    </row>
    <row r="189" spans="1:20" ht="15" x14ac:dyDescent="0.25">
      <c r="A189" s="1" t="s">
        <v>908</v>
      </c>
      <c r="B189" s="1" t="s">
        <v>909</v>
      </c>
      <c r="C189" s="2">
        <v>2005</v>
      </c>
      <c r="D189" s="1" t="s">
        <v>24</v>
      </c>
      <c r="E189" s="2">
        <v>1</v>
      </c>
      <c r="F189" s="1" t="s">
        <v>910</v>
      </c>
      <c r="G189" s="1"/>
      <c r="H189" s="2">
        <v>0</v>
      </c>
      <c r="I189" s="2">
        <v>47000</v>
      </c>
      <c r="J189" s="1" t="s">
        <v>911</v>
      </c>
      <c r="K189" s="2">
        <v>47000</v>
      </c>
      <c r="L189" s="1" t="s">
        <v>68</v>
      </c>
      <c r="M189" s="1" t="s">
        <v>69</v>
      </c>
      <c r="N189" s="1" t="s">
        <v>322</v>
      </c>
      <c r="O189" s="1" t="s">
        <v>783</v>
      </c>
      <c r="P189" s="1" t="s">
        <v>162</v>
      </c>
      <c r="Q189" s="1" t="s">
        <v>316</v>
      </c>
      <c r="R189" s="1" t="s">
        <v>322</v>
      </c>
      <c r="S189" s="1" t="s">
        <v>32</v>
      </c>
      <c r="T189" s="3" t="str">
        <f>Sheet4!H189</f>
        <v xml:space="preserve"> View Map </v>
      </c>
    </row>
    <row r="190" spans="1:20" ht="15" x14ac:dyDescent="0.25">
      <c r="A190" s="1" t="s">
        <v>912</v>
      </c>
      <c r="B190" s="1" t="s">
        <v>913</v>
      </c>
      <c r="C190" s="2">
        <v>2005</v>
      </c>
      <c r="D190" s="1" t="s">
        <v>81</v>
      </c>
      <c r="E190" s="2">
        <v>0</v>
      </c>
      <c r="F190" s="1" t="s">
        <v>28</v>
      </c>
      <c r="G190" s="1" t="s">
        <v>28</v>
      </c>
      <c r="H190" s="1" t="s">
        <v>28</v>
      </c>
      <c r="I190" s="2">
        <v>0</v>
      </c>
      <c r="J190" s="1"/>
      <c r="K190" s="1" t="s">
        <v>28</v>
      </c>
      <c r="L190" s="1" t="s">
        <v>51</v>
      </c>
      <c r="M190" s="1" t="s">
        <v>28</v>
      </c>
      <c r="N190" s="1" t="s">
        <v>53</v>
      </c>
      <c r="O190" s="1" t="s">
        <v>28</v>
      </c>
      <c r="P190" s="1" t="s">
        <v>45</v>
      </c>
      <c r="Q190" s="1" t="s">
        <v>28</v>
      </c>
      <c r="R190" s="1" t="s">
        <v>443</v>
      </c>
      <c r="S190" s="1" t="s">
        <v>71</v>
      </c>
      <c r="T190" s="3" t="str">
        <f>Sheet4!H190</f>
        <v xml:space="preserve"> View Map </v>
      </c>
    </row>
    <row r="191" spans="1:20" ht="15" x14ac:dyDescent="0.25">
      <c r="A191" s="1" t="s">
        <v>914</v>
      </c>
      <c r="B191" s="1" t="s">
        <v>915</v>
      </c>
      <c r="C191" s="2">
        <v>2018</v>
      </c>
      <c r="D191" s="1" t="s">
        <v>24</v>
      </c>
      <c r="E191" s="2">
        <v>1</v>
      </c>
      <c r="F191" s="1" t="s">
        <v>916</v>
      </c>
      <c r="G191" s="1"/>
      <c r="H191" s="2">
        <v>0</v>
      </c>
      <c r="I191" s="2">
        <v>32000</v>
      </c>
      <c r="J191" s="1" t="s">
        <v>917</v>
      </c>
      <c r="K191" s="2">
        <v>32000</v>
      </c>
      <c r="L191" s="1" t="s">
        <v>68</v>
      </c>
      <c r="M191" s="1" t="s">
        <v>69</v>
      </c>
      <c r="N191" s="1" t="s">
        <v>309</v>
      </c>
      <c r="O191" s="1" t="s">
        <v>918</v>
      </c>
      <c r="P191" s="1" t="s">
        <v>304</v>
      </c>
      <c r="Q191" s="1" t="s">
        <v>305</v>
      </c>
      <c r="R191" s="1" t="s">
        <v>309</v>
      </c>
      <c r="S191" s="1" t="s">
        <v>71</v>
      </c>
      <c r="T191" s="3" t="str">
        <f>Sheet4!H191</f>
        <v xml:space="preserve"> View Map </v>
      </c>
    </row>
    <row r="192" spans="1:20" ht="15" x14ac:dyDescent="0.25">
      <c r="A192" s="1" t="s">
        <v>919</v>
      </c>
      <c r="B192" s="1" t="s">
        <v>920</v>
      </c>
      <c r="C192" s="2">
        <v>0</v>
      </c>
      <c r="D192" s="1" t="s">
        <v>24</v>
      </c>
      <c r="E192" s="2">
        <v>1</v>
      </c>
      <c r="F192" s="1" t="s">
        <v>921</v>
      </c>
      <c r="G192" s="1" t="s">
        <v>922</v>
      </c>
      <c r="H192" s="2">
        <v>4650</v>
      </c>
      <c r="I192" s="2">
        <v>63000</v>
      </c>
      <c r="J192" s="1" t="s">
        <v>923</v>
      </c>
      <c r="K192" s="2">
        <v>47000</v>
      </c>
      <c r="L192" s="1" t="s">
        <v>29</v>
      </c>
      <c r="M192" s="1" t="s">
        <v>30</v>
      </c>
      <c r="N192" s="1" t="s">
        <v>20</v>
      </c>
      <c r="O192" s="1" t="s">
        <v>31</v>
      </c>
      <c r="P192" s="1" t="s">
        <v>20</v>
      </c>
      <c r="Q192" s="1" t="s">
        <v>33</v>
      </c>
      <c r="R192" s="1" t="s">
        <v>90</v>
      </c>
      <c r="S192" s="1" t="s">
        <v>32</v>
      </c>
      <c r="T192" s="3" t="str">
        <f>Sheet4!H192</f>
        <v xml:space="preserve"> View Map </v>
      </c>
    </row>
    <row r="193" spans="1:20" ht="15" x14ac:dyDescent="0.25">
      <c r="A193" s="1" t="s">
        <v>924</v>
      </c>
      <c r="B193" s="1" t="s">
        <v>925</v>
      </c>
      <c r="C193" s="2">
        <v>2005</v>
      </c>
      <c r="D193" s="1" t="s">
        <v>24</v>
      </c>
      <c r="E193" s="2">
        <v>1</v>
      </c>
      <c r="F193" s="1" t="s">
        <v>926</v>
      </c>
      <c r="G193" s="1"/>
      <c r="H193" s="2">
        <v>0</v>
      </c>
      <c r="I193" s="2">
        <v>32000</v>
      </c>
      <c r="J193" s="1" t="s">
        <v>927</v>
      </c>
      <c r="K193" s="2">
        <v>32000</v>
      </c>
      <c r="L193" s="1" t="s">
        <v>51</v>
      </c>
      <c r="M193" s="1" t="s">
        <v>159</v>
      </c>
      <c r="N193" s="1" t="s">
        <v>162</v>
      </c>
      <c r="O193" s="1" t="s">
        <v>693</v>
      </c>
      <c r="P193" s="1" t="s">
        <v>162</v>
      </c>
      <c r="Q193" s="1" t="s">
        <v>516</v>
      </c>
      <c r="R193" s="1" t="s">
        <v>561</v>
      </c>
      <c r="S193" s="1" t="s">
        <v>32</v>
      </c>
      <c r="T193" s="3" t="str">
        <f>Sheet4!H193</f>
        <v xml:space="preserve"> View Map </v>
      </c>
    </row>
    <row r="194" spans="1:20" ht="15" x14ac:dyDescent="0.25">
      <c r="A194" s="1" t="s">
        <v>928</v>
      </c>
      <c r="B194" s="1" t="s">
        <v>929</v>
      </c>
      <c r="C194" s="2">
        <v>0</v>
      </c>
      <c r="D194" s="1" t="s">
        <v>24</v>
      </c>
      <c r="E194" s="2">
        <v>1</v>
      </c>
      <c r="F194" s="1"/>
      <c r="G194" s="1" t="s">
        <v>922</v>
      </c>
      <c r="H194" s="2">
        <v>4700</v>
      </c>
      <c r="I194" s="2">
        <v>85000</v>
      </c>
      <c r="J194" s="1" t="s">
        <v>930</v>
      </c>
      <c r="K194" s="2">
        <v>67000</v>
      </c>
      <c r="L194" s="1" t="s">
        <v>29</v>
      </c>
      <c r="M194" s="1" t="s">
        <v>30</v>
      </c>
      <c r="N194" s="1" t="s">
        <v>20</v>
      </c>
      <c r="O194" s="1" t="s">
        <v>31</v>
      </c>
      <c r="P194" s="1" t="s">
        <v>20</v>
      </c>
      <c r="Q194" s="1" t="s">
        <v>33</v>
      </c>
      <c r="R194" s="1" t="s">
        <v>90</v>
      </c>
      <c r="S194" s="1" t="s">
        <v>32</v>
      </c>
      <c r="T194" s="3" t="str">
        <f>Sheet4!H194</f>
        <v xml:space="preserve"> View Map </v>
      </c>
    </row>
    <row r="195" spans="1:20" ht="15" x14ac:dyDescent="0.25">
      <c r="A195" s="1" t="s">
        <v>931</v>
      </c>
      <c r="B195" s="1" t="s">
        <v>932</v>
      </c>
      <c r="C195" s="2">
        <v>2005</v>
      </c>
      <c r="D195" s="1" t="s">
        <v>24</v>
      </c>
      <c r="E195" s="2">
        <v>1</v>
      </c>
      <c r="F195" s="1"/>
      <c r="G195" s="1"/>
      <c r="H195" s="2">
        <v>0</v>
      </c>
      <c r="I195" s="2">
        <v>59000</v>
      </c>
      <c r="J195" s="1" t="s">
        <v>933</v>
      </c>
      <c r="K195" s="2">
        <v>59000</v>
      </c>
      <c r="L195" s="1" t="s">
        <v>51</v>
      </c>
      <c r="M195" s="1" t="s">
        <v>159</v>
      </c>
      <c r="N195" s="1" t="s">
        <v>162</v>
      </c>
      <c r="O195" s="1" t="s">
        <v>693</v>
      </c>
      <c r="P195" s="1" t="s">
        <v>162</v>
      </c>
      <c r="Q195" s="1" t="s">
        <v>516</v>
      </c>
      <c r="R195" s="1" t="s">
        <v>561</v>
      </c>
      <c r="S195" s="1" t="s">
        <v>32</v>
      </c>
      <c r="T195" s="3" t="str">
        <f>Sheet4!H195</f>
        <v xml:space="preserve"> View Map </v>
      </c>
    </row>
    <row r="196" spans="1:20" ht="15" x14ac:dyDescent="0.25">
      <c r="A196" s="1" t="s">
        <v>934</v>
      </c>
      <c r="B196" s="1" t="s">
        <v>935</v>
      </c>
      <c r="C196" s="2">
        <v>2019</v>
      </c>
      <c r="D196" s="1" t="s">
        <v>24</v>
      </c>
      <c r="E196" s="2">
        <v>1</v>
      </c>
      <c r="F196" s="1" t="s">
        <v>936</v>
      </c>
      <c r="G196" s="1" t="s">
        <v>937</v>
      </c>
      <c r="H196" s="2">
        <v>656</v>
      </c>
      <c r="I196" s="2">
        <v>75000</v>
      </c>
      <c r="J196" s="1" t="s">
        <v>938</v>
      </c>
      <c r="K196" s="2">
        <v>75000</v>
      </c>
      <c r="L196" s="1" t="s">
        <v>51</v>
      </c>
      <c r="M196" s="1" t="s">
        <v>52</v>
      </c>
      <c r="N196" s="1" t="s">
        <v>146</v>
      </c>
      <c r="O196" s="1" t="s">
        <v>939</v>
      </c>
      <c r="P196" s="1" t="s">
        <v>45</v>
      </c>
      <c r="Q196" s="1" t="s">
        <v>146</v>
      </c>
      <c r="R196" s="1" t="s">
        <v>443</v>
      </c>
      <c r="S196" s="1" t="s">
        <v>32</v>
      </c>
      <c r="T196" s="3" t="str">
        <f>Sheet4!H196</f>
        <v xml:space="preserve"> View Map </v>
      </c>
    </row>
    <row r="197" spans="1:20" ht="15" x14ac:dyDescent="0.25">
      <c r="A197" s="1" t="s">
        <v>940</v>
      </c>
      <c r="B197" s="1" t="s">
        <v>941</v>
      </c>
      <c r="C197" s="2">
        <v>2005</v>
      </c>
      <c r="D197" s="1" t="s">
        <v>24</v>
      </c>
      <c r="E197" s="2">
        <v>1</v>
      </c>
      <c r="F197" s="1" t="s">
        <v>942</v>
      </c>
      <c r="G197" s="1"/>
      <c r="H197" s="2">
        <v>0</v>
      </c>
      <c r="I197" s="2">
        <v>60000</v>
      </c>
      <c r="J197" s="1" t="s">
        <v>943</v>
      </c>
      <c r="K197" s="2">
        <v>34000</v>
      </c>
      <c r="L197" s="1" t="s">
        <v>29</v>
      </c>
      <c r="M197" s="1" t="s">
        <v>134</v>
      </c>
      <c r="N197" s="1" t="s">
        <v>160</v>
      </c>
      <c r="O197" s="1" t="s">
        <v>944</v>
      </c>
      <c r="P197" s="1" t="s">
        <v>153</v>
      </c>
      <c r="Q197" s="1" t="s">
        <v>193</v>
      </c>
      <c r="R197" s="1" t="s">
        <v>945</v>
      </c>
      <c r="S197" s="1" t="s">
        <v>32</v>
      </c>
      <c r="T197" s="3" t="str">
        <f>Sheet4!H197</f>
        <v xml:space="preserve"> View Map </v>
      </c>
    </row>
    <row r="198" spans="1:20" ht="15" x14ac:dyDescent="0.25">
      <c r="A198" s="1" t="s">
        <v>946</v>
      </c>
      <c r="B198" s="1" t="s">
        <v>947</v>
      </c>
      <c r="C198" s="2">
        <v>2005</v>
      </c>
      <c r="D198" s="1" t="s">
        <v>24</v>
      </c>
      <c r="E198" s="2">
        <v>1</v>
      </c>
      <c r="F198" s="1"/>
      <c r="G198" s="1" t="s">
        <v>173</v>
      </c>
      <c r="H198" s="2">
        <v>1265</v>
      </c>
      <c r="I198" s="2">
        <v>85500</v>
      </c>
      <c r="J198" s="1" t="s">
        <v>948</v>
      </c>
      <c r="K198" s="2">
        <v>85500</v>
      </c>
      <c r="L198" s="1" t="s">
        <v>29</v>
      </c>
      <c r="M198" s="1" t="s">
        <v>30</v>
      </c>
      <c r="N198" s="1" t="s">
        <v>20</v>
      </c>
      <c r="O198" s="1" t="s">
        <v>173</v>
      </c>
      <c r="P198" s="1" t="s">
        <v>20</v>
      </c>
      <c r="Q198" s="1" t="s">
        <v>179</v>
      </c>
      <c r="R198" s="1" t="s">
        <v>174</v>
      </c>
      <c r="S198" s="1" t="s">
        <v>32</v>
      </c>
      <c r="T198" s="3" t="str">
        <f>Sheet4!H198</f>
        <v xml:space="preserve"> View Map </v>
      </c>
    </row>
    <row r="199" spans="1:20" ht="15" x14ac:dyDescent="0.25">
      <c r="A199" s="1" t="s">
        <v>949</v>
      </c>
      <c r="B199" s="1" t="s">
        <v>950</v>
      </c>
      <c r="C199" s="2">
        <v>0</v>
      </c>
      <c r="D199" s="1" t="s">
        <v>24</v>
      </c>
      <c r="E199" s="2">
        <v>0</v>
      </c>
      <c r="F199" s="1" t="s">
        <v>950</v>
      </c>
      <c r="G199" s="1"/>
      <c r="H199" s="2">
        <v>300</v>
      </c>
      <c r="I199" s="2">
        <v>28000</v>
      </c>
      <c r="J199" s="1" t="s">
        <v>951</v>
      </c>
      <c r="K199" s="2">
        <v>28000</v>
      </c>
      <c r="L199" s="1" t="s">
        <v>68</v>
      </c>
      <c r="M199" s="1" t="s">
        <v>69</v>
      </c>
      <c r="N199" s="1" t="s">
        <v>72</v>
      </c>
      <c r="O199" s="1" t="s">
        <v>115</v>
      </c>
      <c r="P199" s="1" t="s">
        <v>72</v>
      </c>
      <c r="Q199" s="1" t="s">
        <v>639</v>
      </c>
      <c r="R199" s="1" t="s">
        <v>72</v>
      </c>
      <c r="S199" s="1" t="s">
        <v>32</v>
      </c>
      <c r="T199" s="3" t="str">
        <f>Sheet4!H199</f>
        <v xml:space="preserve"> View Map </v>
      </c>
    </row>
    <row r="200" spans="1:20" ht="15" x14ac:dyDescent="0.25">
      <c r="A200" s="1" t="s">
        <v>952</v>
      </c>
      <c r="B200" s="1" t="s">
        <v>953</v>
      </c>
      <c r="C200" s="2">
        <v>2005</v>
      </c>
      <c r="D200" s="1" t="s">
        <v>24</v>
      </c>
      <c r="E200" s="2">
        <v>1</v>
      </c>
      <c r="F200" s="1" t="s">
        <v>954</v>
      </c>
      <c r="G200" s="1"/>
      <c r="H200" s="2">
        <v>871</v>
      </c>
      <c r="I200" s="2">
        <v>125000</v>
      </c>
      <c r="J200" s="1" t="s">
        <v>955</v>
      </c>
      <c r="K200" s="2">
        <v>76000</v>
      </c>
      <c r="L200" s="1" t="s">
        <v>51</v>
      </c>
      <c r="M200" s="1" t="s">
        <v>159</v>
      </c>
      <c r="N200" s="1" t="s">
        <v>160</v>
      </c>
      <c r="O200" s="1" t="s">
        <v>656</v>
      </c>
      <c r="P200" s="1" t="s">
        <v>153</v>
      </c>
      <c r="Q200" s="1" t="s">
        <v>184</v>
      </c>
      <c r="R200" s="1" t="s">
        <v>188</v>
      </c>
      <c r="S200" s="1" t="s">
        <v>32</v>
      </c>
      <c r="T200" s="3" t="str">
        <f>Sheet4!H200</f>
        <v xml:space="preserve"> View Map </v>
      </c>
    </row>
    <row r="201" spans="1:20" ht="15" x14ac:dyDescent="0.25">
      <c r="A201" s="1" t="s">
        <v>956</v>
      </c>
      <c r="B201" s="1" t="s">
        <v>957</v>
      </c>
      <c r="C201" s="2">
        <v>2005</v>
      </c>
      <c r="D201" s="1" t="s">
        <v>24</v>
      </c>
      <c r="E201" s="2">
        <v>1</v>
      </c>
      <c r="F201" s="1" t="s">
        <v>958</v>
      </c>
      <c r="G201" s="1"/>
      <c r="H201" s="2">
        <v>0</v>
      </c>
      <c r="I201" s="2">
        <v>110000</v>
      </c>
      <c r="J201" s="1" t="s">
        <v>458</v>
      </c>
      <c r="K201" s="2">
        <v>110000</v>
      </c>
      <c r="L201" s="1" t="s">
        <v>51</v>
      </c>
      <c r="M201" s="1" t="s">
        <v>159</v>
      </c>
      <c r="N201" s="1" t="s">
        <v>160</v>
      </c>
      <c r="O201" s="1" t="s">
        <v>187</v>
      </c>
      <c r="P201" s="1" t="s">
        <v>153</v>
      </c>
      <c r="Q201" s="1" t="s">
        <v>184</v>
      </c>
      <c r="R201" s="1" t="s">
        <v>188</v>
      </c>
      <c r="S201" s="1" t="s">
        <v>32</v>
      </c>
      <c r="T201" s="3" t="str">
        <f>Sheet4!H201</f>
        <v xml:space="preserve"> View Map </v>
      </c>
    </row>
    <row r="202" spans="1:20" ht="15" x14ac:dyDescent="0.25">
      <c r="A202" s="1" t="s">
        <v>959</v>
      </c>
      <c r="B202" s="1" t="s">
        <v>960</v>
      </c>
      <c r="C202" s="2">
        <v>0</v>
      </c>
      <c r="D202" s="1" t="s">
        <v>24</v>
      </c>
      <c r="E202" s="2">
        <v>1</v>
      </c>
      <c r="F202" s="1" t="s">
        <v>961</v>
      </c>
      <c r="G202" s="1" t="s">
        <v>41</v>
      </c>
      <c r="H202" s="2">
        <v>4200</v>
      </c>
      <c r="I202" s="2">
        <v>50000</v>
      </c>
      <c r="J202" s="1" t="s">
        <v>962</v>
      </c>
      <c r="K202" s="2">
        <v>50000</v>
      </c>
      <c r="L202" s="1" t="s">
        <v>29</v>
      </c>
      <c r="M202" s="1" t="s">
        <v>30</v>
      </c>
      <c r="N202" s="1" t="s">
        <v>20</v>
      </c>
      <c r="O202" s="1" t="s">
        <v>31</v>
      </c>
      <c r="P202" s="1" t="s">
        <v>20</v>
      </c>
      <c r="Q202" s="1" t="s">
        <v>33</v>
      </c>
      <c r="R202" s="1" t="s">
        <v>44</v>
      </c>
      <c r="S202" s="1" t="s">
        <v>32</v>
      </c>
      <c r="T202" s="3" t="str">
        <f>Sheet4!H202</f>
        <v xml:space="preserve"> View Map </v>
      </c>
    </row>
    <row r="203" spans="1:20" ht="15" x14ac:dyDescent="0.25">
      <c r="A203" s="1" t="s">
        <v>963</v>
      </c>
      <c r="B203" s="1" t="s">
        <v>964</v>
      </c>
      <c r="C203" s="2">
        <v>0</v>
      </c>
      <c r="D203" s="1" t="s">
        <v>24</v>
      </c>
      <c r="E203" s="2">
        <v>1</v>
      </c>
      <c r="F203" s="1" t="s">
        <v>819</v>
      </c>
      <c r="G203" s="1" t="s">
        <v>965</v>
      </c>
      <c r="H203" s="2">
        <v>1300</v>
      </c>
      <c r="I203" s="2">
        <v>27000</v>
      </c>
      <c r="J203" s="1" t="s">
        <v>966</v>
      </c>
      <c r="K203" s="2">
        <v>27000</v>
      </c>
      <c r="L203" s="1" t="s">
        <v>29</v>
      </c>
      <c r="M203" s="1" t="s">
        <v>30</v>
      </c>
      <c r="N203" s="1" t="s">
        <v>20</v>
      </c>
      <c r="O203" s="1" t="s">
        <v>173</v>
      </c>
      <c r="P203" s="1" t="s">
        <v>20</v>
      </c>
      <c r="Q203" s="1" t="s">
        <v>179</v>
      </c>
      <c r="R203" s="1" t="s">
        <v>20</v>
      </c>
      <c r="S203" s="1" t="s">
        <v>71</v>
      </c>
      <c r="T203" s="3" t="str">
        <f>Sheet4!H203</f>
        <v xml:space="preserve"> View Map </v>
      </c>
    </row>
    <row r="204" spans="1:20" ht="15" x14ac:dyDescent="0.25">
      <c r="A204" s="1" t="s">
        <v>967</v>
      </c>
      <c r="B204" s="1" t="s">
        <v>968</v>
      </c>
      <c r="C204" s="2">
        <v>2005</v>
      </c>
      <c r="D204" s="1" t="s">
        <v>24</v>
      </c>
      <c r="E204" s="2">
        <v>0</v>
      </c>
      <c r="F204" s="1" t="s">
        <v>969</v>
      </c>
      <c r="G204" s="1"/>
      <c r="H204" s="2">
        <v>0</v>
      </c>
      <c r="I204" s="2">
        <v>38000</v>
      </c>
      <c r="J204" s="1" t="s">
        <v>970</v>
      </c>
      <c r="K204" s="1" t="s">
        <v>28</v>
      </c>
      <c r="L204" s="1" t="s">
        <v>29</v>
      </c>
      <c r="M204" s="1" t="s">
        <v>30</v>
      </c>
      <c r="N204" s="1" t="s">
        <v>20</v>
      </c>
      <c r="O204" s="1" t="s">
        <v>31</v>
      </c>
      <c r="P204" s="1" t="s">
        <v>20</v>
      </c>
      <c r="Q204" s="1" t="s">
        <v>33</v>
      </c>
      <c r="R204" s="1" t="s">
        <v>38</v>
      </c>
      <c r="S204" s="1" t="s">
        <v>32</v>
      </c>
      <c r="T204" s="3" t="str">
        <f>Sheet4!H204</f>
        <v xml:space="preserve"> View Map </v>
      </c>
    </row>
    <row r="205" spans="1:20" ht="15" x14ac:dyDescent="0.25">
      <c r="A205" s="1" t="s">
        <v>971</v>
      </c>
      <c r="B205" s="1" t="s">
        <v>972</v>
      </c>
      <c r="C205" s="2">
        <v>2005</v>
      </c>
      <c r="D205" s="1" t="s">
        <v>24</v>
      </c>
      <c r="E205" s="2">
        <v>1</v>
      </c>
      <c r="F205" s="1" t="s">
        <v>973</v>
      </c>
      <c r="G205" s="1"/>
      <c r="H205" s="2">
        <v>0</v>
      </c>
      <c r="I205" s="2">
        <v>45000</v>
      </c>
      <c r="J205" s="1" t="s">
        <v>974</v>
      </c>
      <c r="K205" s="2">
        <v>45000</v>
      </c>
      <c r="L205" s="1" t="s">
        <v>29</v>
      </c>
      <c r="M205" s="1" t="s">
        <v>30</v>
      </c>
      <c r="N205" s="1" t="s">
        <v>20</v>
      </c>
      <c r="O205" s="1" t="s">
        <v>43</v>
      </c>
      <c r="P205" s="1" t="s">
        <v>20</v>
      </c>
      <c r="Q205" s="1" t="s">
        <v>21</v>
      </c>
      <c r="R205" s="1" t="s">
        <v>293</v>
      </c>
      <c r="S205" s="1" t="s">
        <v>32</v>
      </c>
      <c r="T205" s="3" t="str">
        <f>Sheet4!H205</f>
        <v xml:space="preserve"> View Map </v>
      </c>
    </row>
    <row r="206" spans="1:20" ht="15" x14ac:dyDescent="0.25">
      <c r="A206" s="1" t="s">
        <v>975</v>
      </c>
      <c r="B206" s="1" t="s">
        <v>976</v>
      </c>
      <c r="C206" s="2">
        <v>2005</v>
      </c>
      <c r="D206" s="1" t="s">
        <v>24</v>
      </c>
      <c r="E206" s="2">
        <v>1</v>
      </c>
      <c r="F206" s="1" t="s">
        <v>977</v>
      </c>
      <c r="G206" s="1"/>
      <c r="H206" s="2">
        <v>0</v>
      </c>
      <c r="I206" s="2">
        <v>32000</v>
      </c>
      <c r="J206" s="1" t="s">
        <v>978</v>
      </c>
      <c r="K206" s="2">
        <v>32000</v>
      </c>
      <c r="L206" s="1" t="s">
        <v>29</v>
      </c>
      <c r="M206" s="1" t="s">
        <v>134</v>
      </c>
      <c r="N206" s="1" t="s">
        <v>160</v>
      </c>
      <c r="O206" s="1" t="s">
        <v>161</v>
      </c>
      <c r="P206" s="1" t="s">
        <v>153</v>
      </c>
      <c r="Q206" s="1" t="s">
        <v>154</v>
      </c>
      <c r="R206" s="1" t="s">
        <v>136</v>
      </c>
      <c r="S206" s="1" t="s">
        <v>32</v>
      </c>
      <c r="T206" s="3" t="str">
        <f>Sheet4!H206</f>
        <v xml:space="preserve"> View Map </v>
      </c>
    </row>
    <row r="207" spans="1:20" ht="15" x14ac:dyDescent="0.25">
      <c r="A207" s="1" t="s">
        <v>979</v>
      </c>
      <c r="B207" s="1" t="s">
        <v>980</v>
      </c>
      <c r="C207" s="2">
        <v>2005</v>
      </c>
      <c r="D207" s="1" t="s">
        <v>24</v>
      </c>
      <c r="E207" s="2">
        <v>1</v>
      </c>
      <c r="F207" s="1"/>
      <c r="G207" s="1"/>
      <c r="H207" s="2">
        <v>0</v>
      </c>
      <c r="I207" s="2">
        <v>50000</v>
      </c>
      <c r="J207" s="1" t="s">
        <v>981</v>
      </c>
      <c r="K207" s="2">
        <v>50000</v>
      </c>
      <c r="L207" s="1" t="s">
        <v>29</v>
      </c>
      <c r="M207" s="1" t="s">
        <v>134</v>
      </c>
      <c r="N207" s="1" t="s">
        <v>20</v>
      </c>
      <c r="O207" s="1" t="s">
        <v>135</v>
      </c>
      <c r="P207" s="1" t="s">
        <v>20</v>
      </c>
      <c r="Q207" s="1" t="s">
        <v>129</v>
      </c>
      <c r="R207" s="1" t="s">
        <v>419</v>
      </c>
      <c r="S207" s="1" t="s">
        <v>32</v>
      </c>
      <c r="T207" s="3" t="str">
        <f>Sheet4!H207</f>
        <v xml:space="preserve"> View Map </v>
      </c>
    </row>
    <row r="208" spans="1:20" ht="15" x14ac:dyDescent="0.25">
      <c r="A208" s="1" t="s">
        <v>982</v>
      </c>
      <c r="B208" s="1" t="s">
        <v>983</v>
      </c>
      <c r="C208" s="2">
        <v>2005</v>
      </c>
      <c r="D208" s="1" t="s">
        <v>24</v>
      </c>
      <c r="E208" s="2">
        <v>1</v>
      </c>
      <c r="F208" s="1" t="s">
        <v>984</v>
      </c>
      <c r="G208" s="1"/>
      <c r="H208" s="2">
        <v>0</v>
      </c>
      <c r="I208" s="2">
        <v>70000</v>
      </c>
      <c r="J208" s="1" t="s">
        <v>985</v>
      </c>
      <c r="K208" s="2">
        <v>70000</v>
      </c>
      <c r="L208" s="1" t="s">
        <v>29</v>
      </c>
      <c r="M208" s="1" t="s">
        <v>134</v>
      </c>
      <c r="N208" s="1" t="s">
        <v>20</v>
      </c>
      <c r="O208" s="1" t="s">
        <v>135</v>
      </c>
      <c r="P208" s="1" t="s">
        <v>20</v>
      </c>
      <c r="Q208" s="1" t="s">
        <v>129</v>
      </c>
      <c r="R208" s="1" t="s">
        <v>419</v>
      </c>
      <c r="S208" s="1" t="s">
        <v>32</v>
      </c>
      <c r="T208" s="3" t="str">
        <f>Sheet4!H208</f>
        <v xml:space="preserve"> View Map </v>
      </c>
    </row>
    <row r="209" spans="1:20" ht="15" x14ac:dyDescent="0.25">
      <c r="A209" s="1" t="s">
        <v>986</v>
      </c>
      <c r="B209" s="1" t="s">
        <v>987</v>
      </c>
      <c r="C209" s="2">
        <v>2024</v>
      </c>
      <c r="D209" s="1" t="s">
        <v>24</v>
      </c>
      <c r="E209" s="2">
        <v>1</v>
      </c>
      <c r="F209" s="1" t="s">
        <v>988</v>
      </c>
      <c r="G209" s="1"/>
      <c r="H209" s="2">
        <v>825</v>
      </c>
      <c r="I209" s="2">
        <v>35000</v>
      </c>
      <c r="J209" s="1" t="s">
        <v>989</v>
      </c>
      <c r="K209" s="2">
        <v>35000</v>
      </c>
      <c r="L209" s="1" t="s">
        <v>68</v>
      </c>
      <c r="M209" s="1" t="s">
        <v>69</v>
      </c>
      <c r="N209" s="1" t="s">
        <v>162</v>
      </c>
      <c r="O209" s="1" t="s">
        <v>732</v>
      </c>
      <c r="P209" s="1" t="s">
        <v>72</v>
      </c>
      <c r="Q209" s="1" t="s">
        <v>73</v>
      </c>
      <c r="R209" s="1" t="s">
        <v>645</v>
      </c>
      <c r="S209" s="1" t="s">
        <v>32</v>
      </c>
      <c r="T209" s="3" t="str">
        <f>Sheet4!H209</f>
        <v xml:space="preserve"> View Map </v>
      </c>
    </row>
    <row r="210" spans="1:20" ht="15" x14ac:dyDescent="0.25">
      <c r="A210" s="1" t="s">
        <v>990</v>
      </c>
      <c r="B210" s="1" t="s">
        <v>991</v>
      </c>
      <c r="C210" s="2">
        <v>2005</v>
      </c>
      <c r="D210" s="1" t="s">
        <v>24</v>
      </c>
      <c r="E210" s="2">
        <v>1</v>
      </c>
      <c r="F210" s="1" t="s">
        <v>992</v>
      </c>
      <c r="G210" s="1"/>
      <c r="H210" s="2">
        <v>0</v>
      </c>
      <c r="I210" s="2">
        <v>52000</v>
      </c>
      <c r="J210" s="1" t="s">
        <v>993</v>
      </c>
      <c r="K210" s="2">
        <v>52000</v>
      </c>
      <c r="L210" s="1" t="s">
        <v>29</v>
      </c>
      <c r="M210" s="1" t="s">
        <v>30</v>
      </c>
      <c r="N210" s="1" t="s">
        <v>20</v>
      </c>
      <c r="O210" s="1" t="s">
        <v>173</v>
      </c>
      <c r="P210" s="1" t="s">
        <v>20</v>
      </c>
      <c r="Q210" s="1" t="s">
        <v>179</v>
      </c>
      <c r="R210" s="1" t="s">
        <v>738</v>
      </c>
      <c r="S210" s="1" t="s">
        <v>32</v>
      </c>
      <c r="T210" s="3" t="str">
        <f>Sheet4!H210</f>
        <v xml:space="preserve"> View Map </v>
      </c>
    </row>
    <row r="211" spans="1:20" ht="15" x14ac:dyDescent="0.25">
      <c r="A211" s="1" t="s">
        <v>994</v>
      </c>
      <c r="B211" s="1" t="s">
        <v>995</v>
      </c>
      <c r="C211" s="2">
        <v>2005</v>
      </c>
      <c r="D211" s="1" t="s">
        <v>24</v>
      </c>
      <c r="E211" s="2">
        <v>0</v>
      </c>
      <c r="F211" s="1"/>
      <c r="G211" s="1"/>
      <c r="H211" s="2">
        <v>0</v>
      </c>
      <c r="I211" s="2">
        <v>0</v>
      </c>
      <c r="J211" s="1"/>
      <c r="K211" s="1" t="s">
        <v>28</v>
      </c>
      <c r="L211" s="1" t="s">
        <v>51</v>
      </c>
      <c r="M211" s="1" t="s">
        <v>52</v>
      </c>
      <c r="N211" s="1" t="s">
        <v>20</v>
      </c>
      <c r="O211" s="1" t="s">
        <v>173</v>
      </c>
      <c r="P211" s="1" t="s">
        <v>20</v>
      </c>
      <c r="Q211" s="1" t="s">
        <v>168</v>
      </c>
      <c r="R211" s="1" t="s">
        <v>174</v>
      </c>
      <c r="S211" s="1" t="s">
        <v>71</v>
      </c>
      <c r="T211" s="3" t="str">
        <f>Sheet4!H211</f>
        <v xml:space="preserve"> View Map </v>
      </c>
    </row>
    <row r="212" spans="1:20" ht="15" x14ac:dyDescent="0.25">
      <c r="A212" s="1" t="s">
        <v>996</v>
      </c>
      <c r="B212" s="1" t="s">
        <v>997</v>
      </c>
      <c r="C212" s="2">
        <v>0</v>
      </c>
      <c r="D212" s="1" t="s">
        <v>24</v>
      </c>
      <c r="E212" s="2">
        <v>1</v>
      </c>
      <c r="F212" s="1" t="s">
        <v>997</v>
      </c>
      <c r="G212" s="1"/>
      <c r="H212" s="2">
        <v>1100</v>
      </c>
      <c r="I212" s="2">
        <v>22500</v>
      </c>
      <c r="J212" s="1" t="s">
        <v>998</v>
      </c>
      <c r="K212" s="2">
        <v>22500</v>
      </c>
      <c r="L212" s="1" t="s">
        <v>51</v>
      </c>
      <c r="M212" s="1" t="s">
        <v>159</v>
      </c>
      <c r="N212" s="1" t="s">
        <v>20</v>
      </c>
      <c r="O212" s="1" t="s">
        <v>135</v>
      </c>
      <c r="P212" s="1" t="s">
        <v>20</v>
      </c>
      <c r="Q212" s="1" t="s">
        <v>129</v>
      </c>
      <c r="R212" s="1" t="s">
        <v>419</v>
      </c>
      <c r="S212" s="1" t="s">
        <v>32</v>
      </c>
      <c r="T212" s="3" t="str">
        <f>Sheet4!H212</f>
        <v xml:space="preserve"> View Map </v>
      </c>
    </row>
    <row r="213" spans="1:20" ht="15" x14ac:dyDescent="0.25">
      <c r="A213" s="1" t="s">
        <v>999</v>
      </c>
      <c r="B213" s="1" t="s">
        <v>1000</v>
      </c>
      <c r="C213" s="2">
        <v>2005</v>
      </c>
      <c r="D213" s="1" t="s">
        <v>24</v>
      </c>
      <c r="E213" s="2">
        <v>1</v>
      </c>
      <c r="F213" s="1" t="s">
        <v>1001</v>
      </c>
      <c r="G213" s="1"/>
      <c r="H213" s="2">
        <v>0</v>
      </c>
      <c r="I213" s="2">
        <v>57000</v>
      </c>
      <c r="J213" s="1" t="s">
        <v>1002</v>
      </c>
      <c r="K213" s="2">
        <v>57000</v>
      </c>
      <c r="L213" s="1" t="s">
        <v>29</v>
      </c>
      <c r="M213" s="1" t="s">
        <v>30</v>
      </c>
      <c r="N213" s="1" t="s">
        <v>20</v>
      </c>
      <c r="O213" s="1" t="s">
        <v>173</v>
      </c>
      <c r="P213" s="1" t="s">
        <v>20</v>
      </c>
      <c r="Q213" s="1" t="s">
        <v>168</v>
      </c>
      <c r="R213" s="1" t="s">
        <v>174</v>
      </c>
      <c r="S213" s="1" t="s">
        <v>32</v>
      </c>
      <c r="T213" s="3" t="str">
        <f>Sheet4!H213</f>
        <v xml:space="preserve"> View Map </v>
      </c>
    </row>
    <row r="214" spans="1:20" ht="15" x14ac:dyDescent="0.25">
      <c r="A214" s="1" t="s">
        <v>1003</v>
      </c>
      <c r="B214" s="1" t="s">
        <v>391</v>
      </c>
      <c r="C214" s="2">
        <v>1919</v>
      </c>
      <c r="D214" s="1" t="s">
        <v>24</v>
      </c>
      <c r="E214" s="2">
        <v>1</v>
      </c>
      <c r="F214" s="1" t="s">
        <v>1004</v>
      </c>
      <c r="G214" s="1"/>
      <c r="H214" s="2">
        <v>500</v>
      </c>
      <c r="I214" s="2">
        <v>32000</v>
      </c>
      <c r="J214" s="1" t="s">
        <v>1005</v>
      </c>
      <c r="K214" s="2">
        <v>32000</v>
      </c>
      <c r="L214" s="1" t="s">
        <v>51</v>
      </c>
      <c r="M214" s="1" t="s">
        <v>52</v>
      </c>
      <c r="N214" s="1" t="s">
        <v>53</v>
      </c>
      <c r="O214" s="1" t="s">
        <v>84</v>
      </c>
      <c r="P214" s="1" t="s">
        <v>45</v>
      </c>
      <c r="Q214" s="1" t="s">
        <v>45</v>
      </c>
      <c r="R214" s="1" t="s">
        <v>55</v>
      </c>
      <c r="S214" s="1" t="s">
        <v>71</v>
      </c>
      <c r="T214" s="3" t="str">
        <f>Sheet4!H214</f>
        <v xml:space="preserve"> View Map </v>
      </c>
    </row>
    <row r="215" spans="1:20" ht="15" x14ac:dyDescent="0.25">
      <c r="A215" s="1" t="s">
        <v>1006</v>
      </c>
      <c r="B215" s="1" t="s">
        <v>1007</v>
      </c>
      <c r="C215" s="2">
        <v>2024</v>
      </c>
      <c r="D215" s="1" t="s">
        <v>24</v>
      </c>
      <c r="E215" s="2">
        <v>1</v>
      </c>
      <c r="F215" s="1" t="s">
        <v>1008</v>
      </c>
      <c r="G215" s="1"/>
      <c r="H215" s="2">
        <v>0</v>
      </c>
      <c r="I215" s="2">
        <v>110000</v>
      </c>
      <c r="J215" s="1" t="s">
        <v>1009</v>
      </c>
      <c r="K215" s="2">
        <v>110000</v>
      </c>
      <c r="L215" s="1" t="s">
        <v>68</v>
      </c>
      <c r="M215" s="1" t="s">
        <v>69</v>
      </c>
      <c r="N215" s="1" t="s">
        <v>162</v>
      </c>
      <c r="O215" s="1" t="s">
        <v>360</v>
      </c>
      <c r="P215" s="1" t="s">
        <v>162</v>
      </c>
      <c r="Q215" s="1" t="s">
        <v>355</v>
      </c>
      <c r="R215" s="1" t="s">
        <v>162</v>
      </c>
      <c r="S215" s="1" t="s">
        <v>71</v>
      </c>
      <c r="T215" s="3" t="str">
        <f>Sheet4!H215</f>
        <v xml:space="preserve"> View Map </v>
      </c>
    </row>
    <row r="216" spans="1:20" ht="15" x14ac:dyDescent="0.25">
      <c r="A216" s="1" t="s">
        <v>1010</v>
      </c>
      <c r="B216" s="1" t="s">
        <v>1011</v>
      </c>
      <c r="C216" s="2">
        <v>2005</v>
      </c>
      <c r="D216" s="1" t="s">
        <v>24</v>
      </c>
      <c r="E216" s="2">
        <v>1</v>
      </c>
      <c r="F216" s="1" t="s">
        <v>1012</v>
      </c>
      <c r="G216" s="1"/>
      <c r="H216" s="2">
        <v>0</v>
      </c>
      <c r="I216" s="2">
        <v>32500</v>
      </c>
      <c r="J216" s="1" t="s">
        <v>1013</v>
      </c>
      <c r="K216" s="2">
        <v>32500</v>
      </c>
      <c r="L216" s="1" t="s">
        <v>68</v>
      </c>
      <c r="M216" s="1" t="s">
        <v>69</v>
      </c>
      <c r="N216" s="1" t="s">
        <v>72</v>
      </c>
      <c r="O216" s="1" t="s">
        <v>644</v>
      </c>
      <c r="P216" s="1" t="s">
        <v>72</v>
      </c>
      <c r="Q216" s="1" t="s">
        <v>811</v>
      </c>
      <c r="R216" s="1" t="s">
        <v>72</v>
      </c>
      <c r="S216" s="1" t="s">
        <v>71</v>
      </c>
      <c r="T216" s="3" t="str">
        <f>Sheet4!H216</f>
        <v xml:space="preserve"> View Map </v>
      </c>
    </row>
    <row r="217" spans="1:20" ht="15" x14ac:dyDescent="0.25">
      <c r="A217" s="1" t="s">
        <v>1014</v>
      </c>
      <c r="B217" s="1" t="s">
        <v>1015</v>
      </c>
      <c r="C217" s="2">
        <v>0</v>
      </c>
      <c r="D217" s="1" t="s">
        <v>24</v>
      </c>
      <c r="E217" s="2">
        <v>0</v>
      </c>
      <c r="F217" s="1" t="s">
        <v>1016</v>
      </c>
      <c r="G217" s="1" t="s">
        <v>1017</v>
      </c>
      <c r="H217" s="2">
        <v>520</v>
      </c>
      <c r="I217" s="2">
        <v>35000</v>
      </c>
      <c r="J217" s="1" t="s">
        <v>1018</v>
      </c>
      <c r="K217" s="2">
        <v>35000</v>
      </c>
      <c r="L217" s="1" t="s">
        <v>68</v>
      </c>
      <c r="M217" s="1" t="s">
        <v>69</v>
      </c>
      <c r="N217" s="1" t="s">
        <v>53</v>
      </c>
      <c r="O217" s="1" t="s">
        <v>62</v>
      </c>
      <c r="P217" s="1" t="s">
        <v>45</v>
      </c>
      <c r="Q217" s="1" t="s">
        <v>45</v>
      </c>
      <c r="R217" s="1" t="s">
        <v>55</v>
      </c>
      <c r="S217" s="1" t="s">
        <v>71</v>
      </c>
      <c r="T217" s="3" t="str">
        <f>Sheet4!H217</f>
        <v xml:space="preserve"> View Map </v>
      </c>
    </row>
    <row r="218" spans="1:20" ht="15" x14ac:dyDescent="0.25">
      <c r="A218" s="1" t="s">
        <v>1019</v>
      </c>
      <c r="B218" s="1" t="s">
        <v>1020</v>
      </c>
      <c r="C218" s="2">
        <v>1993</v>
      </c>
      <c r="D218" s="1" t="s">
        <v>24</v>
      </c>
      <c r="E218" s="2">
        <v>1</v>
      </c>
      <c r="F218" s="1" t="s">
        <v>1021</v>
      </c>
      <c r="G218" s="1" t="s">
        <v>173</v>
      </c>
      <c r="H218" s="2">
        <v>0</v>
      </c>
      <c r="I218" s="2">
        <v>33000</v>
      </c>
      <c r="J218" s="1" t="s">
        <v>1022</v>
      </c>
      <c r="K218" s="2">
        <v>33000</v>
      </c>
      <c r="L218" s="1" t="s">
        <v>68</v>
      </c>
      <c r="M218" s="1" t="s">
        <v>69</v>
      </c>
      <c r="N218" s="1" t="s">
        <v>20</v>
      </c>
      <c r="O218" s="1" t="s">
        <v>173</v>
      </c>
      <c r="P218" s="1" t="s">
        <v>20</v>
      </c>
      <c r="Q218" s="1" t="s">
        <v>168</v>
      </c>
      <c r="R218" s="1" t="s">
        <v>431</v>
      </c>
      <c r="S218" s="1" t="s">
        <v>71</v>
      </c>
      <c r="T218" s="3" t="str">
        <f>Sheet4!H218</f>
        <v xml:space="preserve"> View Map </v>
      </c>
    </row>
    <row r="219" spans="1:20" ht="15" x14ac:dyDescent="0.25">
      <c r="A219" s="1" t="s">
        <v>1023</v>
      </c>
      <c r="B219" s="1" t="s">
        <v>1024</v>
      </c>
      <c r="C219" s="2">
        <v>2024</v>
      </c>
      <c r="D219" s="1" t="s">
        <v>24</v>
      </c>
      <c r="E219" s="2">
        <v>1</v>
      </c>
      <c r="F219" s="1" t="s">
        <v>1025</v>
      </c>
      <c r="G219" s="1"/>
      <c r="H219" s="2">
        <v>0</v>
      </c>
      <c r="I219" s="2">
        <v>61500</v>
      </c>
      <c r="J219" s="1" t="s">
        <v>1026</v>
      </c>
      <c r="K219" s="2">
        <v>61500</v>
      </c>
      <c r="L219" s="1" t="s">
        <v>68</v>
      </c>
      <c r="M219" s="1" t="s">
        <v>69</v>
      </c>
      <c r="N219" s="1" t="s">
        <v>72</v>
      </c>
      <c r="O219" s="1" t="s">
        <v>644</v>
      </c>
      <c r="P219" s="1" t="s">
        <v>72</v>
      </c>
      <c r="Q219" s="1" t="s">
        <v>811</v>
      </c>
      <c r="R219" s="1" t="s">
        <v>72</v>
      </c>
      <c r="S219" s="1" t="s">
        <v>299</v>
      </c>
      <c r="T219" s="3" t="str">
        <f>Sheet4!H219</f>
        <v xml:space="preserve"> View Map </v>
      </c>
    </row>
    <row r="220" spans="1:20" ht="15" x14ac:dyDescent="0.25">
      <c r="A220" s="1" t="s">
        <v>1027</v>
      </c>
      <c r="B220" s="1" t="s">
        <v>1028</v>
      </c>
      <c r="C220" s="2">
        <v>2023</v>
      </c>
      <c r="D220" s="1" t="s">
        <v>24</v>
      </c>
      <c r="E220" s="2">
        <v>0</v>
      </c>
      <c r="F220" s="1" t="s">
        <v>1029</v>
      </c>
      <c r="G220" s="1"/>
      <c r="H220" s="2">
        <v>0</v>
      </c>
      <c r="I220" s="2">
        <v>54000</v>
      </c>
      <c r="J220" s="1" t="s">
        <v>1030</v>
      </c>
      <c r="K220" s="2">
        <v>54000</v>
      </c>
      <c r="L220" s="1" t="s">
        <v>68</v>
      </c>
      <c r="M220" s="1" t="s">
        <v>69</v>
      </c>
      <c r="N220" s="1" t="s">
        <v>162</v>
      </c>
      <c r="O220" s="1" t="s">
        <v>560</v>
      </c>
      <c r="P220" s="1" t="s">
        <v>162</v>
      </c>
      <c r="Q220" s="1" t="s">
        <v>516</v>
      </c>
      <c r="R220" s="1" t="s">
        <v>162</v>
      </c>
      <c r="S220" s="1" t="s">
        <v>71</v>
      </c>
      <c r="T220" s="3" t="str">
        <f>Sheet4!H220</f>
        <v xml:space="preserve"> View Map </v>
      </c>
    </row>
    <row r="221" spans="1:20" ht="15" x14ac:dyDescent="0.25">
      <c r="A221" s="1" t="s">
        <v>1031</v>
      </c>
      <c r="B221" s="1" t="s">
        <v>1032</v>
      </c>
      <c r="C221" s="2">
        <v>2005</v>
      </c>
      <c r="D221" s="1" t="s">
        <v>81</v>
      </c>
      <c r="E221" s="2">
        <v>0</v>
      </c>
      <c r="F221" s="1" t="s">
        <v>28</v>
      </c>
      <c r="G221" s="1" t="s">
        <v>28</v>
      </c>
      <c r="H221" s="1" t="s">
        <v>28</v>
      </c>
      <c r="I221" s="2">
        <v>0</v>
      </c>
      <c r="J221" s="1" t="s">
        <v>1033</v>
      </c>
      <c r="K221" s="1" t="s">
        <v>28</v>
      </c>
      <c r="L221" s="1" t="s">
        <v>68</v>
      </c>
      <c r="M221" s="1" t="s">
        <v>69</v>
      </c>
      <c r="N221" s="1" t="s">
        <v>72</v>
      </c>
      <c r="O221" s="1" t="s">
        <v>28</v>
      </c>
      <c r="P221" s="1" t="s">
        <v>45</v>
      </c>
      <c r="Q221" s="1" t="s">
        <v>28</v>
      </c>
      <c r="R221" s="1" t="s">
        <v>72</v>
      </c>
      <c r="S221" s="1" t="s">
        <v>71</v>
      </c>
      <c r="T221" s="3" t="str">
        <f>Sheet4!H221</f>
        <v xml:space="preserve"> View Map </v>
      </c>
    </row>
    <row r="222" spans="1:20" ht="15" x14ac:dyDescent="0.25">
      <c r="A222" s="1" t="s">
        <v>1034</v>
      </c>
      <c r="B222" s="1" t="s">
        <v>1035</v>
      </c>
      <c r="C222" s="2">
        <v>2005</v>
      </c>
      <c r="D222" s="1" t="s">
        <v>24</v>
      </c>
      <c r="E222" s="2">
        <v>1</v>
      </c>
      <c r="F222" s="1" t="s">
        <v>1036</v>
      </c>
      <c r="G222" s="1"/>
      <c r="H222" s="2">
        <v>0</v>
      </c>
      <c r="I222" s="2">
        <v>30000</v>
      </c>
      <c r="J222" s="1" t="s">
        <v>1037</v>
      </c>
      <c r="K222" s="2">
        <v>30000</v>
      </c>
      <c r="L222" s="1" t="s">
        <v>29</v>
      </c>
      <c r="M222" s="1" t="s">
        <v>30</v>
      </c>
      <c r="N222" s="1" t="s">
        <v>20</v>
      </c>
      <c r="O222" s="1" t="s">
        <v>31</v>
      </c>
      <c r="P222" s="1" t="s">
        <v>20</v>
      </c>
      <c r="Q222" s="1" t="s">
        <v>33</v>
      </c>
      <c r="R222" s="1" t="s">
        <v>20</v>
      </c>
      <c r="S222" s="1" t="s">
        <v>32</v>
      </c>
      <c r="T222" s="3" t="str">
        <f>Sheet4!H222</f>
        <v xml:space="preserve"> View Map </v>
      </c>
    </row>
    <row r="223" spans="1:20" ht="15" x14ac:dyDescent="0.25">
      <c r="A223" s="1" t="s">
        <v>1038</v>
      </c>
      <c r="B223" s="1" t="s">
        <v>1039</v>
      </c>
      <c r="C223" s="2">
        <v>2005</v>
      </c>
      <c r="D223" s="1" t="s">
        <v>24</v>
      </c>
      <c r="E223" s="2">
        <v>0</v>
      </c>
      <c r="F223" s="1" t="s">
        <v>1040</v>
      </c>
      <c r="G223" s="1"/>
      <c r="H223" s="2">
        <v>0</v>
      </c>
      <c r="I223" s="2">
        <v>35000</v>
      </c>
      <c r="J223" s="1" t="s">
        <v>1041</v>
      </c>
      <c r="K223" s="2">
        <v>35000</v>
      </c>
      <c r="L223" s="1" t="s">
        <v>51</v>
      </c>
      <c r="M223" s="1" t="s">
        <v>159</v>
      </c>
      <c r="N223" s="1" t="s">
        <v>160</v>
      </c>
      <c r="O223" s="1" t="s">
        <v>187</v>
      </c>
      <c r="P223" s="1" t="s">
        <v>153</v>
      </c>
      <c r="Q223" s="1" t="s">
        <v>184</v>
      </c>
      <c r="R223" s="1" t="s">
        <v>188</v>
      </c>
      <c r="S223" s="1" t="s">
        <v>32</v>
      </c>
      <c r="T223" s="3" t="str">
        <f>Sheet4!H223</f>
        <v xml:space="preserve"> View Map </v>
      </c>
    </row>
    <row r="224" spans="1:20" ht="15" x14ac:dyDescent="0.25">
      <c r="A224" s="1" t="s">
        <v>1042</v>
      </c>
      <c r="B224" s="1" t="s">
        <v>1043</v>
      </c>
      <c r="C224" s="2">
        <v>2005</v>
      </c>
      <c r="D224" s="1" t="s">
        <v>24</v>
      </c>
      <c r="E224" s="2">
        <v>0</v>
      </c>
      <c r="F224" s="1" t="s">
        <v>1044</v>
      </c>
      <c r="G224" s="1"/>
      <c r="H224" s="2">
        <v>0</v>
      </c>
      <c r="I224" s="2">
        <v>12000</v>
      </c>
      <c r="J224" s="1" t="s">
        <v>1045</v>
      </c>
      <c r="K224" s="1" t="s">
        <v>28</v>
      </c>
      <c r="L224" s="1" t="s">
        <v>51</v>
      </c>
      <c r="M224" s="1" t="s">
        <v>52</v>
      </c>
      <c r="N224" s="1" t="s">
        <v>53</v>
      </c>
      <c r="O224" s="1" t="s">
        <v>110</v>
      </c>
      <c r="P224" s="1" t="s">
        <v>45</v>
      </c>
      <c r="Q224" s="1" t="s">
        <v>53</v>
      </c>
      <c r="R224" s="1" t="s">
        <v>204</v>
      </c>
      <c r="S224" s="1" t="s">
        <v>56</v>
      </c>
      <c r="T224" s="3" t="str">
        <f>Sheet4!H224</f>
        <v xml:space="preserve"> View Map </v>
      </c>
    </row>
    <row r="225" spans="1:20" ht="15" x14ac:dyDescent="0.25">
      <c r="A225" s="1" t="s">
        <v>1046</v>
      </c>
      <c r="B225" s="1" t="s">
        <v>1047</v>
      </c>
      <c r="C225" s="2">
        <v>2023</v>
      </c>
      <c r="D225" s="1" t="s">
        <v>24</v>
      </c>
      <c r="E225" s="2">
        <v>1</v>
      </c>
      <c r="F225" s="1" t="s">
        <v>1048</v>
      </c>
      <c r="G225" s="1" t="s">
        <v>1049</v>
      </c>
      <c r="H225" s="2">
        <v>500</v>
      </c>
      <c r="I225" s="2">
        <v>50000</v>
      </c>
      <c r="J225" s="1" t="s">
        <v>1050</v>
      </c>
      <c r="K225" s="1" t="s">
        <v>28</v>
      </c>
      <c r="L225" s="1" t="s">
        <v>68</v>
      </c>
      <c r="M225" s="1" t="s">
        <v>69</v>
      </c>
      <c r="N225" s="1" t="s">
        <v>72</v>
      </c>
      <c r="O225" s="1" t="s">
        <v>115</v>
      </c>
      <c r="P225" s="1" t="s">
        <v>72</v>
      </c>
      <c r="Q225" s="1" t="s">
        <v>639</v>
      </c>
      <c r="R225" s="1" t="s">
        <v>645</v>
      </c>
      <c r="S225" s="1" t="s">
        <v>71</v>
      </c>
      <c r="T225" s="3" t="str">
        <f>Sheet4!H225</f>
        <v xml:space="preserve"> View Map </v>
      </c>
    </row>
    <row r="226" spans="1:20" ht="15" x14ac:dyDescent="0.25">
      <c r="A226" s="1" t="s">
        <v>1051</v>
      </c>
      <c r="B226" s="1" t="s">
        <v>1052</v>
      </c>
      <c r="C226" s="2">
        <v>2019</v>
      </c>
      <c r="D226" s="1" t="s">
        <v>24</v>
      </c>
      <c r="E226" s="2">
        <v>1</v>
      </c>
      <c r="F226" s="1" t="s">
        <v>1053</v>
      </c>
      <c r="G226" s="1" t="s">
        <v>1054</v>
      </c>
      <c r="H226" s="2">
        <v>250</v>
      </c>
      <c r="I226" s="2">
        <v>90000</v>
      </c>
      <c r="J226" s="1" t="s">
        <v>1055</v>
      </c>
      <c r="K226" s="2">
        <v>90000</v>
      </c>
      <c r="L226" s="1" t="s">
        <v>68</v>
      </c>
      <c r="M226" s="1" t="s">
        <v>69</v>
      </c>
      <c r="N226" s="1" t="s">
        <v>72</v>
      </c>
      <c r="O226" s="1" t="s">
        <v>644</v>
      </c>
      <c r="P226" s="1" t="s">
        <v>72</v>
      </c>
      <c r="Q226" s="1" t="s">
        <v>811</v>
      </c>
      <c r="R226" s="1" t="s">
        <v>72</v>
      </c>
      <c r="S226" s="1" t="s">
        <v>71</v>
      </c>
      <c r="T226" s="3" t="str">
        <f>Sheet4!H226</f>
        <v xml:space="preserve"> View Map </v>
      </c>
    </row>
    <row r="227" spans="1:20" ht="15" x14ac:dyDescent="0.25">
      <c r="A227" s="1" t="s">
        <v>1056</v>
      </c>
      <c r="B227" s="1" t="s">
        <v>1057</v>
      </c>
      <c r="C227" s="2">
        <v>2021</v>
      </c>
      <c r="D227" s="1" t="s">
        <v>24</v>
      </c>
      <c r="E227" s="2">
        <v>0</v>
      </c>
      <c r="F227" s="1" t="s">
        <v>1058</v>
      </c>
      <c r="G227" s="1" t="s">
        <v>1058</v>
      </c>
      <c r="H227" s="2">
        <v>50</v>
      </c>
      <c r="I227" s="2">
        <v>5000</v>
      </c>
      <c r="J227" s="1" t="s">
        <v>1059</v>
      </c>
      <c r="K227" s="1" t="s">
        <v>28</v>
      </c>
      <c r="L227" s="1" t="s">
        <v>68</v>
      </c>
      <c r="M227" s="1" t="s">
        <v>69</v>
      </c>
      <c r="N227" s="1" t="s">
        <v>275</v>
      </c>
      <c r="O227" s="1" t="s">
        <v>1060</v>
      </c>
      <c r="P227" s="1" t="s">
        <v>275</v>
      </c>
      <c r="Q227" s="1" t="s">
        <v>275</v>
      </c>
      <c r="R227" s="1" t="s">
        <v>275</v>
      </c>
      <c r="S227" s="1" t="s">
        <v>71</v>
      </c>
      <c r="T227" s="3" t="str">
        <f>Sheet4!H227</f>
        <v xml:space="preserve"> View Map </v>
      </c>
    </row>
    <row r="228" spans="1:20" ht="15" x14ac:dyDescent="0.25">
      <c r="A228" s="1" t="s">
        <v>1061</v>
      </c>
      <c r="B228" s="1" t="s">
        <v>1062</v>
      </c>
      <c r="C228" s="2">
        <v>2018</v>
      </c>
      <c r="D228" s="1" t="s">
        <v>24</v>
      </c>
      <c r="E228" s="2">
        <v>1</v>
      </c>
      <c r="F228" s="1" t="s">
        <v>1063</v>
      </c>
      <c r="G228" s="1"/>
      <c r="H228" s="2">
        <v>365</v>
      </c>
      <c r="I228" s="2">
        <v>110000</v>
      </c>
      <c r="J228" s="1" t="s">
        <v>1064</v>
      </c>
      <c r="K228" s="2">
        <v>110000</v>
      </c>
      <c r="L228" s="1" t="s">
        <v>68</v>
      </c>
      <c r="M228" s="1" t="s">
        <v>69</v>
      </c>
      <c r="N228" s="1" t="s">
        <v>72</v>
      </c>
      <c r="O228" s="1" t="s">
        <v>78</v>
      </c>
      <c r="P228" s="1" t="s">
        <v>72</v>
      </c>
      <c r="Q228" s="1" t="s">
        <v>73</v>
      </c>
      <c r="R228" s="1" t="s">
        <v>73</v>
      </c>
      <c r="S228" s="1" t="s">
        <v>71</v>
      </c>
      <c r="T228" s="3" t="str">
        <f>Sheet4!H228</f>
        <v xml:space="preserve"> View Map </v>
      </c>
    </row>
    <row r="229" spans="1:20" ht="15" x14ac:dyDescent="0.25">
      <c r="A229" s="1" t="s">
        <v>1065</v>
      </c>
      <c r="B229" s="1" t="s">
        <v>1066</v>
      </c>
      <c r="C229" s="2">
        <v>2023</v>
      </c>
      <c r="D229" s="1" t="s">
        <v>24</v>
      </c>
      <c r="E229" s="2">
        <v>1</v>
      </c>
      <c r="F229" s="1" t="s">
        <v>1067</v>
      </c>
      <c r="G229" s="1" t="s">
        <v>1068</v>
      </c>
      <c r="H229" s="2">
        <v>560</v>
      </c>
      <c r="I229" s="2">
        <v>31500</v>
      </c>
      <c r="J229" s="1" t="s">
        <v>1069</v>
      </c>
      <c r="K229" s="2">
        <v>31500</v>
      </c>
      <c r="L229" s="1" t="s">
        <v>51</v>
      </c>
      <c r="M229" s="1" t="s">
        <v>52</v>
      </c>
      <c r="N229" s="1" t="s">
        <v>53</v>
      </c>
      <c r="O229" s="1" t="s">
        <v>338</v>
      </c>
      <c r="P229" s="1" t="s">
        <v>45</v>
      </c>
      <c r="Q229" s="1" t="s">
        <v>332</v>
      </c>
      <c r="R229" s="1" t="s">
        <v>128</v>
      </c>
      <c r="S229" s="1" t="s">
        <v>71</v>
      </c>
      <c r="T229" s="3" t="str">
        <f>Sheet4!H229</f>
        <v xml:space="preserve"> View Map </v>
      </c>
    </row>
    <row r="230" spans="1:20" ht="15" x14ac:dyDescent="0.25">
      <c r="A230" s="1" t="s">
        <v>1070</v>
      </c>
      <c r="B230" s="1" t="s">
        <v>1071</v>
      </c>
      <c r="C230" s="2">
        <v>2025</v>
      </c>
      <c r="D230" s="1" t="s">
        <v>24</v>
      </c>
      <c r="E230" s="2">
        <v>1</v>
      </c>
      <c r="F230" s="1" t="s">
        <v>1072</v>
      </c>
      <c r="G230" s="1"/>
      <c r="H230" s="2">
        <v>595</v>
      </c>
      <c r="I230" s="2">
        <v>20000</v>
      </c>
      <c r="J230" s="1" t="s">
        <v>1073</v>
      </c>
      <c r="K230" s="1" t="s">
        <v>28</v>
      </c>
      <c r="L230" s="1" t="s">
        <v>68</v>
      </c>
      <c r="M230" s="1" t="s">
        <v>69</v>
      </c>
      <c r="N230" s="1" t="s">
        <v>322</v>
      </c>
      <c r="O230" s="1" t="s">
        <v>1074</v>
      </c>
      <c r="P230" s="1" t="s">
        <v>45</v>
      </c>
      <c r="Q230" s="1" t="s">
        <v>122</v>
      </c>
      <c r="R230" s="1" t="s">
        <v>105</v>
      </c>
      <c r="S230" s="1" t="s">
        <v>71</v>
      </c>
      <c r="T230" s="3" t="str">
        <f>Sheet4!H230</f>
        <v xml:space="preserve"> View Map </v>
      </c>
    </row>
    <row r="231" spans="1:20" ht="15" x14ac:dyDescent="0.25">
      <c r="A231" s="1" t="s">
        <v>1075</v>
      </c>
      <c r="B231" s="1" t="s">
        <v>1076</v>
      </c>
      <c r="C231" s="2">
        <v>2024</v>
      </c>
      <c r="D231" s="1" t="s">
        <v>24</v>
      </c>
      <c r="E231" s="2">
        <v>1</v>
      </c>
      <c r="F231" s="1" t="s">
        <v>1077</v>
      </c>
      <c r="G231" s="1" t="s">
        <v>1077</v>
      </c>
      <c r="H231" s="2">
        <v>140</v>
      </c>
      <c r="I231" s="2">
        <v>27000</v>
      </c>
      <c r="J231" s="1" t="s">
        <v>1078</v>
      </c>
      <c r="K231" s="2">
        <v>35000</v>
      </c>
      <c r="L231" s="1" t="s">
        <v>68</v>
      </c>
      <c r="M231" s="1" t="s">
        <v>69</v>
      </c>
      <c r="N231" s="1" t="s">
        <v>275</v>
      </c>
      <c r="O231" s="1" t="s">
        <v>1077</v>
      </c>
      <c r="P231" s="1" t="s">
        <v>304</v>
      </c>
      <c r="Q231" s="1" t="s">
        <v>386</v>
      </c>
      <c r="R231" s="1" t="s">
        <v>275</v>
      </c>
      <c r="S231" s="1" t="s">
        <v>71</v>
      </c>
      <c r="T231" s="3" t="str">
        <f>Sheet4!H231</f>
        <v xml:space="preserve"> View Map </v>
      </c>
    </row>
    <row r="232" spans="1:20" ht="15" x14ac:dyDescent="0.25">
      <c r="A232" s="1" t="s">
        <v>1079</v>
      </c>
      <c r="B232" s="1" t="s">
        <v>1080</v>
      </c>
      <c r="C232" s="2">
        <v>2005</v>
      </c>
      <c r="D232" s="1" t="s">
        <v>81</v>
      </c>
      <c r="E232" s="2">
        <v>0</v>
      </c>
      <c r="F232" s="1" t="s">
        <v>28</v>
      </c>
      <c r="G232" s="1" t="s">
        <v>28</v>
      </c>
      <c r="H232" s="1" t="s">
        <v>28</v>
      </c>
      <c r="I232" s="2">
        <v>0</v>
      </c>
      <c r="J232" s="1"/>
      <c r="K232" s="1" t="s">
        <v>28</v>
      </c>
      <c r="L232" s="1" t="s">
        <v>68</v>
      </c>
      <c r="M232" s="1" t="s">
        <v>69</v>
      </c>
      <c r="N232" s="1" t="s">
        <v>72</v>
      </c>
      <c r="O232" s="1" t="s">
        <v>28</v>
      </c>
      <c r="P232" s="1" t="s">
        <v>45</v>
      </c>
      <c r="Q232" s="1" t="s">
        <v>28</v>
      </c>
      <c r="R232" s="1" t="s">
        <v>72</v>
      </c>
      <c r="S232" s="1" t="s">
        <v>71</v>
      </c>
      <c r="T232" s="3" t="str">
        <f>Sheet4!H232</f>
        <v xml:space="preserve"> View Map </v>
      </c>
    </row>
    <row r="233" spans="1:20" ht="15" x14ac:dyDescent="0.25">
      <c r="A233" s="1" t="s">
        <v>1081</v>
      </c>
      <c r="B233" s="1" t="s">
        <v>1082</v>
      </c>
      <c r="C233" s="2">
        <v>2024</v>
      </c>
      <c r="D233" s="1" t="s">
        <v>24</v>
      </c>
      <c r="E233" s="2">
        <v>0</v>
      </c>
      <c r="F233" s="1" t="s">
        <v>1083</v>
      </c>
      <c r="G233" s="1" t="s">
        <v>1084</v>
      </c>
      <c r="H233" s="2">
        <v>0</v>
      </c>
      <c r="I233" s="2">
        <v>10500</v>
      </c>
      <c r="J233" s="1" t="s">
        <v>1085</v>
      </c>
      <c r="K233" s="2">
        <v>10500</v>
      </c>
      <c r="L233" s="1" t="s">
        <v>68</v>
      </c>
      <c r="M233" s="1" t="s">
        <v>69</v>
      </c>
      <c r="N233" s="1" t="s">
        <v>72</v>
      </c>
      <c r="O233" s="1" t="s">
        <v>598</v>
      </c>
      <c r="P233" s="1" t="s">
        <v>72</v>
      </c>
      <c r="Q233" s="1" t="s">
        <v>593</v>
      </c>
      <c r="R233" s="1" t="s">
        <v>72</v>
      </c>
      <c r="S233" s="1" t="s">
        <v>71</v>
      </c>
      <c r="T233" s="3" t="str">
        <f>Sheet4!H233</f>
        <v xml:space="preserve"> View Map </v>
      </c>
    </row>
    <row r="234" spans="1:20" ht="15" x14ac:dyDescent="0.25">
      <c r="A234" s="1" t="s">
        <v>1086</v>
      </c>
      <c r="B234" s="1" t="s">
        <v>1087</v>
      </c>
      <c r="C234" s="2">
        <v>2015</v>
      </c>
      <c r="D234" s="1" t="s">
        <v>24</v>
      </c>
      <c r="E234" s="2">
        <v>0</v>
      </c>
      <c r="F234" s="1" t="s">
        <v>1088</v>
      </c>
      <c r="G234" s="1" t="s">
        <v>1088</v>
      </c>
      <c r="H234" s="2">
        <v>4000</v>
      </c>
      <c r="I234" s="2">
        <v>50000</v>
      </c>
      <c r="J234" s="1" t="s">
        <v>1089</v>
      </c>
      <c r="K234" s="2">
        <v>50000</v>
      </c>
      <c r="L234" s="1" t="s">
        <v>68</v>
      </c>
      <c r="M234" s="1" t="s">
        <v>69</v>
      </c>
      <c r="N234" s="1" t="s">
        <v>162</v>
      </c>
      <c r="O234" s="1" t="s">
        <v>770</v>
      </c>
      <c r="P234" s="1" t="s">
        <v>162</v>
      </c>
      <c r="Q234" s="1" t="s">
        <v>506</v>
      </c>
      <c r="R234" s="1" t="s">
        <v>162</v>
      </c>
      <c r="S234" s="1" t="s">
        <v>71</v>
      </c>
      <c r="T234" s="3" t="str">
        <f>Sheet4!H234</f>
        <v xml:space="preserve"> View Map </v>
      </c>
    </row>
    <row r="235" spans="1:20" ht="15" x14ac:dyDescent="0.25">
      <c r="A235" s="1" t="s">
        <v>1090</v>
      </c>
      <c r="B235" s="1" t="s">
        <v>1091</v>
      </c>
      <c r="C235" s="2">
        <v>2005</v>
      </c>
      <c r="D235" s="1" t="s">
        <v>81</v>
      </c>
      <c r="E235" s="2">
        <v>0</v>
      </c>
      <c r="F235" s="1" t="s">
        <v>28</v>
      </c>
      <c r="G235" s="1" t="s">
        <v>28</v>
      </c>
      <c r="H235" s="1" t="s">
        <v>28</v>
      </c>
      <c r="I235" s="2">
        <v>0</v>
      </c>
      <c r="J235" s="1"/>
      <c r="K235" s="1" t="s">
        <v>28</v>
      </c>
      <c r="L235" s="1" t="s">
        <v>68</v>
      </c>
      <c r="M235" s="1" t="s">
        <v>69</v>
      </c>
      <c r="N235" s="1" t="s">
        <v>72</v>
      </c>
      <c r="O235" s="1" t="s">
        <v>28</v>
      </c>
      <c r="P235" s="1" t="s">
        <v>45</v>
      </c>
      <c r="Q235" s="1" t="s">
        <v>28</v>
      </c>
      <c r="R235" s="1" t="s">
        <v>72</v>
      </c>
      <c r="S235" s="1" t="s">
        <v>71</v>
      </c>
      <c r="T235" s="3" t="str">
        <f>Sheet4!H235</f>
        <v xml:space="preserve"> View Map </v>
      </c>
    </row>
    <row r="236" spans="1:20" ht="15" x14ac:dyDescent="0.25">
      <c r="A236" s="1" t="s">
        <v>1092</v>
      </c>
      <c r="B236" s="1" t="s">
        <v>1093</v>
      </c>
      <c r="C236" s="2">
        <v>2005</v>
      </c>
      <c r="D236" s="1" t="s">
        <v>24</v>
      </c>
      <c r="E236" s="2">
        <v>0</v>
      </c>
      <c r="F236" s="1"/>
      <c r="G236" s="1"/>
      <c r="H236" s="2">
        <v>0</v>
      </c>
      <c r="I236" s="2">
        <v>0</v>
      </c>
      <c r="J236" s="1" t="s">
        <v>1094</v>
      </c>
      <c r="K236" s="1" t="s">
        <v>28</v>
      </c>
      <c r="L236" s="1" t="s">
        <v>68</v>
      </c>
      <c r="M236" s="1" t="s">
        <v>69</v>
      </c>
      <c r="N236" s="1" t="s">
        <v>162</v>
      </c>
      <c r="O236" s="1" t="s">
        <v>28</v>
      </c>
      <c r="P236" s="1" t="s">
        <v>162</v>
      </c>
      <c r="Q236" s="1" t="s">
        <v>28</v>
      </c>
      <c r="R236" s="1" t="s">
        <v>561</v>
      </c>
      <c r="S236" s="1" t="s">
        <v>32</v>
      </c>
      <c r="T236" s="3" t="str">
        <f>Sheet4!H236</f>
        <v xml:space="preserve"> View Map </v>
      </c>
    </row>
    <row r="237" spans="1:20" ht="15" x14ac:dyDescent="0.25">
      <c r="A237" s="1" t="s">
        <v>1095</v>
      </c>
      <c r="B237" s="1" t="s">
        <v>1096</v>
      </c>
      <c r="C237" s="2">
        <v>2024</v>
      </c>
      <c r="D237" s="1" t="s">
        <v>24</v>
      </c>
      <c r="E237" s="2">
        <v>1</v>
      </c>
      <c r="F237" s="1" t="s">
        <v>1097</v>
      </c>
      <c r="G237" s="1"/>
      <c r="H237" s="2">
        <v>160</v>
      </c>
      <c r="I237" s="2">
        <v>55000</v>
      </c>
      <c r="J237" s="1" t="s">
        <v>1098</v>
      </c>
      <c r="K237" s="2">
        <v>55000</v>
      </c>
      <c r="L237" s="1" t="s">
        <v>68</v>
      </c>
      <c r="M237" s="1" t="s">
        <v>69</v>
      </c>
      <c r="N237" s="1" t="s">
        <v>72</v>
      </c>
      <c r="O237" s="1" t="s">
        <v>644</v>
      </c>
      <c r="P237" s="1" t="s">
        <v>72</v>
      </c>
      <c r="Q237" s="1" t="s">
        <v>811</v>
      </c>
      <c r="R237" s="1" t="s">
        <v>72</v>
      </c>
      <c r="S237" s="1" t="s">
        <v>71</v>
      </c>
      <c r="T237" s="3" t="str">
        <f>Sheet4!H237</f>
        <v xml:space="preserve"> View Map </v>
      </c>
    </row>
    <row r="238" spans="1:20" ht="15" x14ac:dyDescent="0.25">
      <c r="A238" s="1" t="s">
        <v>1099</v>
      </c>
      <c r="B238" s="1" t="s">
        <v>1100</v>
      </c>
      <c r="C238" s="2">
        <v>1931</v>
      </c>
      <c r="D238" s="1" t="s">
        <v>24</v>
      </c>
      <c r="E238" s="2">
        <v>1</v>
      </c>
      <c r="F238" s="1" t="s">
        <v>273</v>
      </c>
      <c r="G238" s="1" t="s">
        <v>273</v>
      </c>
      <c r="H238" s="2">
        <v>6500</v>
      </c>
      <c r="I238" s="2">
        <v>50000</v>
      </c>
      <c r="J238" s="1" t="s">
        <v>1101</v>
      </c>
      <c r="K238" s="2">
        <v>20000</v>
      </c>
      <c r="L238" s="1" t="s">
        <v>29</v>
      </c>
      <c r="M238" s="1" t="s">
        <v>134</v>
      </c>
      <c r="N238" s="1" t="s">
        <v>20</v>
      </c>
      <c r="O238" s="1" t="s">
        <v>135</v>
      </c>
      <c r="P238" s="1" t="s">
        <v>20</v>
      </c>
      <c r="Q238" s="1" t="s">
        <v>129</v>
      </c>
      <c r="R238" s="1" t="s">
        <v>20</v>
      </c>
      <c r="S238" s="1" t="s">
        <v>32</v>
      </c>
      <c r="T238" s="3" t="str">
        <f>Sheet4!H238</f>
        <v xml:space="preserve"> View Map </v>
      </c>
    </row>
    <row r="239" spans="1:20" ht="15" x14ac:dyDescent="0.25">
      <c r="A239" s="1" t="s">
        <v>1102</v>
      </c>
      <c r="B239" s="1" t="s">
        <v>1103</v>
      </c>
      <c r="C239" s="2">
        <v>2005</v>
      </c>
      <c r="D239" s="1" t="s">
        <v>24</v>
      </c>
      <c r="E239" s="2">
        <v>1</v>
      </c>
      <c r="F239" s="1" t="s">
        <v>1104</v>
      </c>
      <c r="G239" s="1"/>
      <c r="H239" s="2">
        <v>0</v>
      </c>
      <c r="I239" s="2">
        <v>73000</v>
      </c>
      <c r="J239" s="1" t="s">
        <v>1105</v>
      </c>
      <c r="K239" s="2">
        <v>73000</v>
      </c>
      <c r="L239" s="1" t="s">
        <v>29</v>
      </c>
      <c r="M239" s="1" t="s">
        <v>30</v>
      </c>
      <c r="N239" s="1" t="s">
        <v>20</v>
      </c>
      <c r="O239" s="1" t="s">
        <v>43</v>
      </c>
      <c r="P239" s="1" t="s">
        <v>20</v>
      </c>
      <c r="Q239" s="1" t="s">
        <v>21</v>
      </c>
      <c r="R239" s="1" t="s">
        <v>20</v>
      </c>
      <c r="S239" s="1" t="s">
        <v>32</v>
      </c>
      <c r="T239" s="3" t="str">
        <f>Sheet4!H239</f>
        <v xml:space="preserve"> View Map </v>
      </c>
    </row>
    <row r="240" spans="1:20" ht="15" x14ac:dyDescent="0.25">
      <c r="A240" s="1" t="s">
        <v>1106</v>
      </c>
      <c r="B240" s="1" t="s">
        <v>1107</v>
      </c>
      <c r="C240" s="2">
        <v>2005</v>
      </c>
      <c r="D240" s="1" t="s">
        <v>24</v>
      </c>
      <c r="E240" s="2">
        <v>1</v>
      </c>
      <c r="F240" s="1" t="s">
        <v>1108</v>
      </c>
      <c r="G240" s="1" t="s">
        <v>273</v>
      </c>
      <c r="H240" s="2">
        <v>0</v>
      </c>
      <c r="I240" s="2">
        <v>77000</v>
      </c>
      <c r="J240" s="1" t="s">
        <v>1109</v>
      </c>
      <c r="K240" s="2">
        <v>56000</v>
      </c>
      <c r="L240" s="1" t="s">
        <v>29</v>
      </c>
      <c r="M240" s="1" t="s">
        <v>134</v>
      </c>
      <c r="N240" s="1" t="s">
        <v>20</v>
      </c>
      <c r="O240" s="1" t="s">
        <v>135</v>
      </c>
      <c r="P240" s="1" t="s">
        <v>20</v>
      </c>
      <c r="Q240" s="1" t="s">
        <v>129</v>
      </c>
      <c r="R240" s="1" t="s">
        <v>20</v>
      </c>
      <c r="S240" s="1" t="s">
        <v>32</v>
      </c>
      <c r="T240" s="3" t="str">
        <f>Sheet4!H240</f>
        <v xml:space="preserve"> View Map </v>
      </c>
    </row>
    <row r="241" spans="1:20" ht="15" x14ac:dyDescent="0.25">
      <c r="A241" s="1" t="s">
        <v>1110</v>
      </c>
      <c r="B241" s="1" t="s">
        <v>1111</v>
      </c>
      <c r="C241" s="2">
        <v>2021</v>
      </c>
      <c r="D241" s="1" t="s">
        <v>24</v>
      </c>
      <c r="E241" s="2">
        <v>1</v>
      </c>
      <c r="F241" s="1" t="s">
        <v>1112</v>
      </c>
      <c r="G241" s="1" t="s">
        <v>1112</v>
      </c>
      <c r="H241" s="2">
        <v>3150</v>
      </c>
      <c r="I241" s="2">
        <v>110000</v>
      </c>
      <c r="J241" s="1" t="s">
        <v>1113</v>
      </c>
      <c r="K241" s="2">
        <v>110000</v>
      </c>
      <c r="L241" s="1" t="s">
        <v>51</v>
      </c>
      <c r="M241" s="1" t="s">
        <v>52</v>
      </c>
      <c r="N241" s="1" t="s">
        <v>20</v>
      </c>
      <c r="O241" s="1" t="s">
        <v>173</v>
      </c>
      <c r="P241" s="1" t="s">
        <v>20</v>
      </c>
      <c r="Q241" s="1" t="s">
        <v>168</v>
      </c>
      <c r="R241" s="1" t="s">
        <v>431</v>
      </c>
      <c r="S241" s="1" t="s">
        <v>32</v>
      </c>
      <c r="T241" s="3" t="str">
        <f>Sheet4!H241</f>
        <v xml:space="preserve"> View Map </v>
      </c>
    </row>
    <row r="242" spans="1:20" ht="15" x14ac:dyDescent="0.25">
      <c r="A242" s="1" t="s">
        <v>1114</v>
      </c>
      <c r="B242" s="1" t="s">
        <v>1115</v>
      </c>
      <c r="C242" s="2">
        <v>1928</v>
      </c>
      <c r="D242" s="1" t="s">
        <v>24</v>
      </c>
      <c r="E242" s="2">
        <v>1</v>
      </c>
      <c r="F242" s="1" t="s">
        <v>1116</v>
      </c>
      <c r="G242" s="1" t="s">
        <v>1115</v>
      </c>
      <c r="H242" s="2">
        <v>0</v>
      </c>
      <c r="I242" s="2">
        <v>27000</v>
      </c>
      <c r="J242" s="1" t="s">
        <v>1117</v>
      </c>
      <c r="K242" s="1" t="s">
        <v>28</v>
      </c>
      <c r="L242" s="1" t="s">
        <v>51</v>
      </c>
      <c r="M242" s="1" t="s">
        <v>52</v>
      </c>
      <c r="N242" s="1" t="s">
        <v>20</v>
      </c>
      <c r="O242" s="1" t="s">
        <v>173</v>
      </c>
      <c r="P242" s="1" t="s">
        <v>20</v>
      </c>
      <c r="Q242" s="1" t="s">
        <v>168</v>
      </c>
      <c r="R242" s="1" t="s">
        <v>431</v>
      </c>
      <c r="S242" s="1" t="s">
        <v>56</v>
      </c>
      <c r="T242" s="3" t="str">
        <f>Sheet4!H242</f>
        <v xml:space="preserve"> View Map </v>
      </c>
    </row>
    <row r="243" spans="1:20" ht="15" x14ac:dyDescent="0.25">
      <c r="A243" s="1" t="s">
        <v>1118</v>
      </c>
      <c r="B243" s="1" t="s">
        <v>1119</v>
      </c>
      <c r="C243" s="2">
        <v>2021</v>
      </c>
      <c r="D243" s="1" t="s">
        <v>24</v>
      </c>
      <c r="E243" s="2">
        <v>0</v>
      </c>
      <c r="F243" s="1"/>
      <c r="G243" s="1"/>
      <c r="H243" s="2">
        <v>0</v>
      </c>
      <c r="I243" s="2">
        <v>0</v>
      </c>
      <c r="J243" s="1"/>
      <c r="K243" s="1" t="s">
        <v>28</v>
      </c>
      <c r="L243" s="1" t="s">
        <v>29</v>
      </c>
      <c r="M243" s="1" t="s">
        <v>30</v>
      </c>
      <c r="N243" s="1" t="s">
        <v>20</v>
      </c>
      <c r="O243" s="1" t="s">
        <v>135</v>
      </c>
      <c r="P243" s="1" t="s">
        <v>20</v>
      </c>
      <c r="Q243" s="1" t="s">
        <v>129</v>
      </c>
      <c r="R243" s="1" t="s">
        <v>136</v>
      </c>
      <c r="S243" s="1" t="s">
        <v>32</v>
      </c>
      <c r="T243" s="3" t="str">
        <f>Sheet4!H243</f>
        <v xml:space="preserve"> View Map </v>
      </c>
    </row>
    <row r="244" spans="1:20" ht="15" x14ac:dyDescent="0.25">
      <c r="A244" s="1" t="s">
        <v>1120</v>
      </c>
      <c r="B244" s="1" t="s">
        <v>1121</v>
      </c>
      <c r="C244" s="2">
        <v>0</v>
      </c>
      <c r="D244" s="1" t="s">
        <v>24</v>
      </c>
      <c r="E244" s="2">
        <v>1</v>
      </c>
      <c r="F244" s="1"/>
      <c r="G244" s="1"/>
      <c r="H244" s="2">
        <v>400</v>
      </c>
      <c r="I244" s="2">
        <v>50000</v>
      </c>
      <c r="J244" s="1" t="s">
        <v>1122</v>
      </c>
      <c r="K244" s="2">
        <v>24500</v>
      </c>
      <c r="L244" s="1" t="s">
        <v>29</v>
      </c>
      <c r="M244" s="1" t="s">
        <v>30</v>
      </c>
      <c r="N244" s="1" t="s">
        <v>20</v>
      </c>
      <c r="O244" s="1" t="s">
        <v>31</v>
      </c>
      <c r="P244" s="1" t="s">
        <v>20</v>
      </c>
      <c r="Q244" s="1" t="s">
        <v>33</v>
      </c>
      <c r="R244" s="1" t="s">
        <v>44</v>
      </c>
      <c r="S244" s="1" t="s">
        <v>32</v>
      </c>
      <c r="T244" s="3" t="str">
        <f>Sheet4!H244</f>
        <v xml:space="preserve"> View Map </v>
      </c>
    </row>
    <row r="245" spans="1:20" ht="15" x14ac:dyDescent="0.25">
      <c r="A245" s="1" t="s">
        <v>1123</v>
      </c>
      <c r="B245" s="1" t="s">
        <v>1124</v>
      </c>
      <c r="C245" s="2">
        <v>2005</v>
      </c>
      <c r="D245" s="1" t="s">
        <v>24</v>
      </c>
      <c r="E245" s="2">
        <v>1</v>
      </c>
      <c r="F245" s="1" t="s">
        <v>179</v>
      </c>
      <c r="G245" s="1" t="s">
        <v>179</v>
      </c>
      <c r="H245" s="2">
        <v>5700</v>
      </c>
      <c r="I245" s="2">
        <v>44500</v>
      </c>
      <c r="J245" s="1" t="s">
        <v>1125</v>
      </c>
      <c r="K245" s="2">
        <v>44500</v>
      </c>
      <c r="L245" s="1" t="s">
        <v>29</v>
      </c>
      <c r="M245" s="1" t="s">
        <v>30</v>
      </c>
      <c r="N245" s="1" t="s">
        <v>20</v>
      </c>
      <c r="O245" s="1" t="s">
        <v>173</v>
      </c>
      <c r="P245" s="1" t="s">
        <v>20</v>
      </c>
      <c r="Q245" s="1" t="s">
        <v>179</v>
      </c>
      <c r="R245" s="1" t="s">
        <v>259</v>
      </c>
      <c r="S245" s="1" t="s">
        <v>32</v>
      </c>
      <c r="T245" s="3" t="str">
        <f>Sheet4!H245</f>
        <v xml:space="preserve"> View Map </v>
      </c>
    </row>
    <row r="246" spans="1:20" ht="15" x14ac:dyDescent="0.25">
      <c r="A246" s="1" t="s">
        <v>1126</v>
      </c>
      <c r="B246" s="1" t="s">
        <v>1127</v>
      </c>
      <c r="C246" s="2">
        <v>0</v>
      </c>
      <c r="D246" s="1" t="s">
        <v>81</v>
      </c>
      <c r="E246" s="2">
        <v>0</v>
      </c>
      <c r="F246" s="1"/>
      <c r="G246" s="1" t="s">
        <v>922</v>
      </c>
      <c r="H246" s="2">
        <v>4700</v>
      </c>
      <c r="I246" s="2">
        <v>0</v>
      </c>
      <c r="J246" s="1" t="s">
        <v>1128</v>
      </c>
      <c r="K246" s="1" t="s">
        <v>28</v>
      </c>
      <c r="L246" s="1" t="s">
        <v>29</v>
      </c>
      <c r="M246" s="1" t="s">
        <v>28</v>
      </c>
      <c r="N246" s="1" t="s">
        <v>20</v>
      </c>
      <c r="O246" s="1" t="s">
        <v>28</v>
      </c>
      <c r="P246" s="1" t="s">
        <v>45</v>
      </c>
      <c r="Q246" s="1" t="s">
        <v>28</v>
      </c>
      <c r="R246" s="1" t="s">
        <v>90</v>
      </c>
      <c r="S246" s="1" t="s">
        <v>32</v>
      </c>
      <c r="T246" s="3" t="str">
        <f>Sheet4!H246</f>
        <v xml:space="preserve"> View Map </v>
      </c>
    </row>
    <row r="247" spans="1:20" ht="15" x14ac:dyDescent="0.25">
      <c r="A247" s="1" t="s">
        <v>1129</v>
      </c>
      <c r="B247" s="1" t="s">
        <v>1130</v>
      </c>
      <c r="C247" s="2">
        <v>2005</v>
      </c>
      <c r="D247" s="1" t="s">
        <v>24</v>
      </c>
      <c r="E247" s="2">
        <v>1</v>
      </c>
      <c r="F247" s="1"/>
      <c r="G247" s="1"/>
      <c r="H247" s="2">
        <v>0</v>
      </c>
      <c r="I247" s="2">
        <v>32500</v>
      </c>
      <c r="J247" s="1" t="s">
        <v>1131</v>
      </c>
      <c r="K247" s="2">
        <v>32500</v>
      </c>
      <c r="L247" s="1" t="s">
        <v>68</v>
      </c>
      <c r="M247" s="1" t="s">
        <v>69</v>
      </c>
      <c r="N247" s="1" t="s">
        <v>309</v>
      </c>
      <c r="O247" s="1" t="s">
        <v>1132</v>
      </c>
      <c r="P247" s="1" t="s">
        <v>304</v>
      </c>
      <c r="Q247" s="1" t="s">
        <v>305</v>
      </c>
      <c r="R247" s="1" t="s">
        <v>309</v>
      </c>
      <c r="S247" s="1" t="s">
        <v>32</v>
      </c>
      <c r="T247" s="3" t="str">
        <f>Sheet4!H247</f>
        <v xml:space="preserve"> View Map </v>
      </c>
    </row>
    <row r="248" spans="1:20" ht="15" x14ac:dyDescent="0.25">
      <c r="A248" s="1" t="s">
        <v>1133</v>
      </c>
      <c r="B248" s="1" t="s">
        <v>1134</v>
      </c>
      <c r="C248" s="2">
        <v>2021</v>
      </c>
      <c r="D248" s="1" t="s">
        <v>24</v>
      </c>
      <c r="E248" s="2">
        <v>0</v>
      </c>
      <c r="F248" s="1" t="s">
        <v>1135</v>
      </c>
      <c r="G248" s="1"/>
      <c r="H248" s="2">
        <v>193</v>
      </c>
      <c r="I248" s="2">
        <v>35000</v>
      </c>
      <c r="J248" s="1" t="s">
        <v>1136</v>
      </c>
      <c r="K248" s="2">
        <v>35000</v>
      </c>
      <c r="L248" s="1" t="s">
        <v>68</v>
      </c>
      <c r="M248" s="1" t="s">
        <v>69</v>
      </c>
      <c r="N248" s="1" t="s">
        <v>322</v>
      </c>
      <c r="O248" s="1" t="s">
        <v>1137</v>
      </c>
      <c r="P248" s="1" t="s">
        <v>162</v>
      </c>
      <c r="Q248" s="1" t="s">
        <v>316</v>
      </c>
      <c r="R248" s="1" t="s">
        <v>784</v>
      </c>
      <c r="S248" s="1" t="s">
        <v>32</v>
      </c>
      <c r="T248" s="3" t="str">
        <f>Sheet4!H248</f>
        <v xml:space="preserve"> View Map </v>
      </c>
    </row>
    <row r="249" spans="1:20" ht="15" x14ac:dyDescent="0.25">
      <c r="A249" s="1" t="s">
        <v>1138</v>
      </c>
      <c r="B249" s="1" t="s">
        <v>1139</v>
      </c>
      <c r="C249" s="2">
        <v>2005</v>
      </c>
      <c r="D249" s="1" t="s">
        <v>24</v>
      </c>
      <c r="E249" s="2">
        <v>0</v>
      </c>
      <c r="F249" s="1"/>
      <c r="G249" s="1" t="s">
        <v>1140</v>
      </c>
      <c r="H249" s="2">
        <v>3500</v>
      </c>
      <c r="I249" s="2">
        <v>0</v>
      </c>
      <c r="J249" s="1" t="s">
        <v>1141</v>
      </c>
      <c r="K249" s="1" t="s">
        <v>28</v>
      </c>
      <c r="L249" s="1" t="s">
        <v>51</v>
      </c>
      <c r="M249" s="1" t="s">
        <v>28</v>
      </c>
      <c r="N249" s="1" t="s">
        <v>20</v>
      </c>
      <c r="O249" s="1" t="s">
        <v>173</v>
      </c>
      <c r="P249" s="1" t="s">
        <v>20</v>
      </c>
      <c r="Q249" s="1" t="s">
        <v>168</v>
      </c>
      <c r="R249" s="1" t="s">
        <v>607</v>
      </c>
      <c r="S249" s="1" t="s">
        <v>71</v>
      </c>
      <c r="T249" s="3" t="str">
        <f>Sheet4!H249</f>
        <v xml:space="preserve"> View Map </v>
      </c>
    </row>
    <row r="250" spans="1:20" ht="15" x14ac:dyDescent="0.25">
      <c r="A250" s="1" t="s">
        <v>1142</v>
      </c>
      <c r="B250" s="1" t="s">
        <v>1143</v>
      </c>
      <c r="C250" s="2">
        <v>2018</v>
      </c>
      <c r="D250" s="1" t="s">
        <v>24</v>
      </c>
      <c r="E250" s="2">
        <v>1</v>
      </c>
      <c r="F250" s="1" t="s">
        <v>1144</v>
      </c>
      <c r="G250" s="1" t="s">
        <v>1144</v>
      </c>
      <c r="H250" s="2">
        <v>884</v>
      </c>
      <c r="I250" s="2">
        <v>46000</v>
      </c>
      <c r="J250" s="1" t="s">
        <v>1145</v>
      </c>
      <c r="K250" s="2">
        <v>38000</v>
      </c>
      <c r="L250" s="1" t="s">
        <v>68</v>
      </c>
      <c r="M250" s="1" t="s">
        <v>69</v>
      </c>
      <c r="N250" s="1" t="s">
        <v>162</v>
      </c>
      <c r="O250" s="1" t="s">
        <v>732</v>
      </c>
      <c r="P250" s="1" t="s">
        <v>162</v>
      </c>
      <c r="Q250" s="1" t="s">
        <v>355</v>
      </c>
      <c r="R250" s="1" t="s">
        <v>561</v>
      </c>
      <c r="S250" s="1" t="s">
        <v>71</v>
      </c>
      <c r="T250" s="3" t="str">
        <f>Sheet4!H250</f>
        <v xml:space="preserve"> View Map </v>
      </c>
    </row>
    <row r="251" spans="1:20" ht="15" x14ac:dyDescent="0.25">
      <c r="A251" s="1" t="s">
        <v>1146</v>
      </c>
      <c r="B251" s="1" t="s">
        <v>1147</v>
      </c>
      <c r="C251" s="2">
        <v>2005</v>
      </c>
      <c r="D251" s="1" t="s">
        <v>24</v>
      </c>
      <c r="E251" s="2">
        <v>1</v>
      </c>
      <c r="F251" s="1" t="s">
        <v>1148</v>
      </c>
      <c r="G251" s="1"/>
      <c r="H251" s="2">
        <v>0</v>
      </c>
      <c r="I251" s="2">
        <v>71500</v>
      </c>
      <c r="J251" s="1" t="s">
        <v>1149</v>
      </c>
      <c r="K251" s="2">
        <v>71500</v>
      </c>
      <c r="L251" s="1" t="s">
        <v>29</v>
      </c>
      <c r="M251" s="1" t="s">
        <v>30</v>
      </c>
      <c r="N251" s="1" t="s">
        <v>20</v>
      </c>
      <c r="O251" s="1" t="s">
        <v>173</v>
      </c>
      <c r="P251" s="1" t="s">
        <v>20</v>
      </c>
      <c r="Q251" s="1" t="s">
        <v>179</v>
      </c>
      <c r="R251" s="1" t="s">
        <v>259</v>
      </c>
      <c r="S251" s="1" t="s">
        <v>32</v>
      </c>
      <c r="T251" s="3" t="str">
        <f>Sheet4!H251</f>
        <v xml:space="preserve"> View Map </v>
      </c>
    </row>
    <row r="252" spans="1:20" ht="15" x14ac:dyDescent="0.25">
      <c r="A252" s="1" t="s">
        <v>1150</v>
      </c>
      <c r="B252" s="1" t="s">
        <v>1151</v>
      </c>
      <c r="C252" s="2">
        <v>2005</v>
      </c>
      <c r="D252" s="1" t="s">
        <v>24</v>
      </c>
      <c r="E252" s="2">
        <v>1</v>
      </c>
      <c r="F252" s="1" t="s">
        <v>1152</v>
      </c>
      <c r="G252" s="1"/>
      <c r="H252" s="2">
        <v>0</v>
      </c>
      <c r="I252" s="2">
        <v>100000</v>
      </c>
      <c r="J252" s="1" t="s">
        <v>1153</v>
      </c>
      <c r="K252" s="2">
        <v>79000</v>
      </c>
      <c r="L252" s="1" t="s">
        <v>29</v>
      </c>
      <c r="M252" s="1" t="s">
        <v>30</v>
      </c>
      <c r="N252" s="1" t="s">
        <v>20</v>
      </c>
      <c r="O252" s="1" t="s">
        <v>173</v>
      </c>
      <c r="P252" s="1" t="s">
        <v>20</v>
      </c>
      <c r="Q252" s="1" t="s">
        <v>179</v>
      </c>
      <c r="R252" s="1" t="s">
        <v>259</v>
      </c>
      <c r="S252" s="1" t="s">
        <v>32</v>
      </c>
      <c r="T252" s="3" t="str">
        <f>Sheet4!H252</f>
        <v xml:space="preserve"> View Map </v>
      </c>
    </row>
    <row r="253" spans="1:20" ht="15" x14ac:dyDescent="0.25">
      <c r="A253" s="1" t="s">
        <v>1154</v>
      </c>
      <c r="B253" s="1" t="s">
        <v>1155</v>
      </c>
      <c r="C253" s="2">
        <v>0</v>
      </c>
      <c r="D253" s="1" t="s">
        <v>24</v>
      </c>
      <c r="E253" s="2">
        <v>1</v>
      </c>
      <c r="F253" s="1" t="s">
        <v>1156</v>
      </c>
      <c r="G253" s="1"/>
      <c r="H253" s="2">
        <v>0</v>
      </c>
      <c r="I253" s="2">
        <v>65000</v>
      </c>
      <c r="J253" s="1" t="s">
        <v>1157</v>
      </c>
      <c r="K253" s="2">
        <v>55000</v>
      </c>
      <c r="L253" s="1" t="s">
        <v>29</v>
      </c>
      <c r="M253" s="1" t="s">
        <v>134</v>
      </c>
      <c r="N253" s="1" t="s">
        <v>160</v>
      </c>
      <c r="O253" s="1" t="s">
        <v>944</v>
      </c>
      <c r="P253" s="1" t="s">
        <v>153</v>
      </c>
      <c r="Q253" s="1" t="s">
        <v>193</v>
      </c>
      <c r="R253" s="1" t="s">
        <v>945</v>
      </c>
      <c r="S253" s="1" t="s">
        <v>32</v>
      </c>
      <c r="T253" s="3" t="str">
        <f>Sheet4!H253</f>
        <v xml:space="preserve"> View Map </v>
      </c>
    </row>
    <row r="254" spans="1:20" ht="15" x14ac:dyDescent="0.25">
      <c r="A254" s="1" t="s">
        <v>1158</v>
      </c>
      <c r="B254" s="1" t="s">
        <v>1159</v>
      </c>
      <c r="C254" s="2">
        <v>2005</v>
      </c>
      <c r="D254" s="1" t="s">
        <v>24</v>
      </c>
      <c r="E254" s="2">
        <v>1</v>
      </c>
      <c r="F254" s="1" t="s">
        <v>1160</v>
      </c>
      <c r="G254" s="1"/>
      <c r="H254" s="2">
        <v>0</v>
      </c>
      <c r="I254" s="2">
        <v>90000</v>
      </c>
      <c r="J254" s="1" t="s">
        <v>1161</v>
      </c>
      <c r="K254" s="2">
        <v>53000</v>
      </c>
      <c r="L254" s="1" t="s">
        <v>29</v>
      </c>
      <c r="M254" s="1" t="s">
        <v>30</v>
      </c>
      <c r="N254" s="1" t="s">
        <v>20</v>
      </c>
      <c r="O254" s="1" t="s">
        <v>31</v>
      </c>
      <c r="P254" s="1" t="s">
        <v>20</v>
      </c>
      <c r="Q254" s="1" t="s">
        <v>33</v>
      </c>
      <c r="R254" s="1" t="s">
        <v>38</v>
      </c>
      <c r="S254" s="1" t="s">
        <v>32</v>
      </c>
      <c r="T254" s="3" t="str">
        <f>Sheet4!H254</f>
        <v xml:space="preserve"> View Map </v>
      </c>
    </row>
    <row r="255" spans="1:20" ht="15" x14ac:dyDescent="0.25">
      <c r="A255" s="1" t="s">
        <v>1162</v>
      </c>
      <c r="B255" s="1" t="s">
        <v>1163</v>
      </c>
      <c r="C255" s="2">
        <v>2005</v>
      </c>
      <c r="D255" s="1" t="s">
        <v>24</v>
      </c>
      <c r="E255" s="2">
        <v>1</v>
      </c>
      <c r="F255" s="1" t="s">
        <v>1164</v>
      </c>
      <c r="G255" s="1"/>
      <c r="H255" s="2">
        <v>0</v>
      </c>
      <c r="I255" s="2">
        <v>58000</v>
      </c>
      <c r="J255" s="1" t="s">
        <v>1165</v>
      </c>
      <c r="K255" s="2">
        <v>48000</v>
      </c>
      <c r="L255" s="1" t="s">
        <v>68</v>
      </c>
      <c r="M255" s="1" t="s">
        <v>69</v>
      </c>
      <c r="N255" s="1" t="s">
        <v>162</v>
      </c>
      <c r="O255" s="1" t="s">
        <v>360</v>
      </c>
      <c r="P255" s="1" t="s">
        <v>162</v>
      </c>
      <c r="Q255" s="1" t="s">
        <v>355</v>
      </c>
      <c r="R255" s="1" t="s">
        <v>162</v>
      </c>
      <c r="S255" s="1" t="s">
        <v>32</v>
      </c>
      <c r="T255" s="3" t="str">
        <f>Sheet4!H255</f>
        <v xml:space="preserve"> View Map </v>
      </c>
    </row>
    <row r="256" spans="1:20" ht="15" x14ac:dyDescent="0.25">
      <c r="A256" s="1" t="s">
        <v>1167</v>
      </c>
      <c r="B256" s="1" t="s">
        <v>1160</v>
      </c>
      <c r="C256" s="2">
        <v>2005</v>
      </c>
      <c r="D256" s="1" t="s">
        <v>24</v>
      </c>
      <c r="E256" s="2">
        <v>0</v>
      </c>
      <c r="F256" s="1"/>
      <c r="G256" s="1"/>
      <c r="H256" s="2">
        <v>0</v>
      </c>
      <c r="I256" s="2">
        <v>3000</v>
      </c>
      <c r="J256" s="1" t="s">
        <v>1168</v>
      </c>
      <c r="K256" s="2">
        <v>3000</v>
      </c>
      <c r="L256" s="1" t="s">
        <v>29</v>
      </c>
      <c r="M256" s="1" t="s">
        <v>30</v>
      </c>
      <c r="N256" s="1" t="s">
        <v>20</v>
      </c>
      <c r="O256" s="1" t="s">
        <v>1169</v>
      </c>
      <c r="P256" s="1" t="s">
        <v>1166</v>
      </c>
      <c r="Q256" s="1" t="s">
        <v>33</v>
      </c>
      <c r="R256" s="1" t="s">
        <v>44</v>
      </c>
      <c r="S256" s="1" t="s">
        <v>32</v>
      </c>
      <c r="T256" s="3" t="str">
        <f>Sheet4!H256</f>
        <v xml:space="preserve"> View Map </v>
      </c>
    </row>
    <row r="257" spans="1:20" ht="15" x14ac:dyDescent="0.25">
      <c r="A257" s="1" t="s">
        <v>1170</v>
      </c>
      <c r="B257" s="1" t="s">
        <v>1171</v>
      </c>
      <c r="C257" s="2">
        <v>2005</v>
      </c>
      <c r="D257" s="1" t="s">
        <v>24</v>
      </c>
      <c r="E257" s="2">
        <v>1</v>
      </c>
      <c r="F257" s="1" t="s">
        <v>1172</v>
      </c>
      <c r="G257" s="1"/>
      <c r="H257" s="2">
        <v>0</v>
      </c>
      <c r="I257" s="2">
        <v>20000</v>
      </c>
      <c r="J257" s="1" t="s">
        <v>1173</v>
      </c>
      <c r="K257" s="2">
        <v>20000</v>
      </c>
      <c r="L257" s="1" t="s">
        <v>29</v>
      </c>
      <c r="M257" s="1" t="s">
        <v>30</v>
      </c>
      <c r="N257" s="1" t="s">
        <v>20</v>
      </c>
      <c r="O257" s="1" t="s">
        <v>43</v>
      </c>
      <c r="P257" s="1" t="s">
        <v>20</v>
      </c>
      <c r="Q257" s="1" t="s">
        <v>21</v>
      </c>
      <c r="R257" s="1" t="s">
        <v>44</v>
      </c>
      <c r="S257" s="1" t="s">
        <v>32</v>
      </c>
      <c r="T257" s="3" t="str">
        <f>Sheet4!H257</f>
        <v xml:space="preserve"> View Map </v>
      </c>
    </row>
    <row r="258" spans="1:20" ht="15" x14ac:dyDescent="0.25">
      <c r="A258" s="1" t="s">
        <v>1174</v>
      </c>
      <c r="B258" s="1" t="s">
        <v>1175</v>
      </c>
      <c r="C258" s="2">
        <v>2005</v>
      </c>
      <c r="D258" s="1" t="s">
        <v>24</v>
      </c>
      <c r="E258" s="2">
        <v>0</v>
      </c>
      <c r="F258" s="1"/>
      <c r="G258" s="1"/>
      <c r="H258" s="2">
        <v>0</v>
      </c>
      <c r="I258" s="2">
        <v>0</v>
      </c>
      <c r="J258" s="1" t="s">
        <v>426</v>
      </c>
      <c r="K258" s="1" t="s">
        <v>28</v>
      </c>
      <c r="L258" s="1" t="s">
        <v>29</v>
      </c>
      <c r="M258" s="1" t="s">
        <v>30</v>
      </c>
      <c r="N258" s="1" t="s">
        <v>20</v>
      </c>
      <c r="O258" s="1" t="s">
        <v>31</v>
      </c>
      <c r="P258" s="1" t="s">
        <v>20</v>
      </c>
      <c r="Q258" s="1" t="s">
        <v>33</v>
      </c>
      <c r="R258" s="1" t="s">
        <v>55</v>
      </c>
      <c r="S258" s="1" t="s">
        <v>534</v>
      </c>
      <c r="T258" s="3" t="str">
        <f>Sheet4!H258</f>
        <v xml:space="preserve"> View Map </v>
      </c>
    </row>
    <row r="259" spans="1:20" ht="15" x14ac:dyDescent="0.25">
      <c r="A259" s="1" t="s">
        <v>1176</v>
      </c>
      <c r="B259" s="1" t="s">
        <v>1177</v>
      </c>
      <c r="C259" s="2">
        <v>1907</v>
      </c>
      <c r="D259" s="1" t="s">
        <v>24</v>
      </c>
      <c r="E259" s="2">
        <v>1</v>
      </c>
      <c r="F259" s="1" t="s">
        <v>1178</v>
      </c>
      <c r="G259" s="1" t="s">
        <v>1178</v>
      </c>
      <c r="H259" s="2">
        <v>1295</v>
      </c>
      <c r="I259" s="2">
        <v>44500</v>
      </c>
      <c r="J259" s="1" t="s">
        <v>1179</v>
      </c>
      <c r="K259" s="2">
        <v>44500</v>
      </c>
      <c r="L259" s="1" t="s">
        <v>29</v>
      </c>
      <c r="M259" s="1" t="s">
        <v>134</v>
      </c>
      <c r="N259" s="1" t="s">
        <v>160</v>
      </c>
      <c r="O259" s="1" t="s">
        <v>219</v>
      </c>
      <c r="P259" s="1" t="s">
        <v>153</v>
      </c>
      <c r="Q259" s="1" t="s">
        <v>153</v>
      </c>
      <c r="R259" s="1" t="s">
        <v>588</v>
      </c>
      <c r="S259" s="1" t="s">
        <v>32</v>
      </c>
      <c r="T259" s="3" t="str">
        <f>Sheet4!H259</f>
        <v xml:space="preserve"> View Map </v>
      </c>
    </row>
    <row r="260" spans="1:20" ht="15" x14ac:dyDescent="0.25">
      <c r="A260" s="1" t="s">
        <v>1180</v>
      </c>
      <c r="B260" s="1" t="s">
        <v>1181</v>
      </c>
      <c r="C260" s="2">
        <v>2005</v>
      </c>
      <c r="D260" s="1" t="s">
        <v>24</v>
      </c>
      <c r="E260" s="2">
        <v>1</v>
      </c>
      <c r="F260" s="1" t="s">
        <v>749</v>
      </c>
      <c r="G260" s="1"/>
      <c r="H260" s="2">
        <v>0</v>
      </c>
      <c r="I260" s="2">
        <v>50000</v>
      </c>
      <c r="J260" s="1" t="s">
        <v>1182</v>
      </c>
      <c r="K260" s="2">
        <v>50000</v>
      </c>
      <c r="L260" s="1" t="s">
        <v>29</v>
      </c>
      <c r="M260" s="1" t="s">
        <v>30</v>
      </c>
      <c r="N260" s="1" t="s">
        <v>20</v>
      </c>
      <c r="O260" s="1" t="s">
        <v>173</v>
      </c>
      <c r="P260" s="1" t="s">
        <v>20</v>
      </c>
      <c r="Q260" s="1" t="s">
        <v>179</v>
      </c>
      <c r="R260" s="1" t="s">
        <v>738</v>
      </c>
      <c r="S260" s="1" t="s">
        <v>32</v>
      </c>
      <c r="T260" s="3" t="str">
        <f>Sheet4!H260</f>
        <v xml:space="preserve"> View Map </v>
      </c>
    </row>
    <row r="261" spans="1:20" ht="15" x14ac:dyDescent="0.25">
      <c r="A261" s="1" t="s">
        <v>1183</v>
      </c>
      <c r="B261" s="1" t="s">
        <v>1184</v>
      </c>
      <c r="C261" s="2">
        <v>2018</v>
      </c>
      <c r="D261" s="1" t="s">
        <v>24</v>
      </c>
      <c r="E261" s="2">
        <v>1</v>
      </c>
      <c r="F261" s="1" t="s">
        <v>1185</v>
      </c>
      <c r="G261" s="1" t="s">
        <v>1186</v>
      </c>
      <c r="H261" s="2">
        <v>0</v>
      </c>
      <c r="I261" s="2">
        <v>40000</v>
      </c>
      <c r="J261" s="1" t="s">
        <v>1187</v>
      </c>
      <c r="K261" s="2">
        <v>40000</v>
      </c>
      <c r="L261" s="1" t="s">
        <v>29</v>
      </c>
      <c r="M261" s="1" t="s">
        <v>134</v>
      </c>
      <c r="N261" s="1" t="s">
        <v>160</v>
      </c>
      <c r="O261" s="1" t="s">
        <v>582</v>
      </c>
      <c r="P261" s="1" t="s">
        <v>153</v>
      </c>
      <c r="Q261" s="1" t="s">
        <v>153</v>
      </c>
      <c r="R261" s="1" t="s">
        <v>192</v>
      </c>
      <c r="S261" s="1" t="s">
        <v>71</v>
      </c>
      <c r="T261" s="3" t="str">
        <f>Sheet4!H261</f>
        <v xml:space="preserve"> View Map </v>
      </c>
    </row>
    <row r="262" spans="1:20" ht="15" x14ac:dyDescent="0.25">
      <c r="A262" s="1" t="s">
        <v>1188</v>
      </c>
      <c r="B262" s="1" t="s">
        <v>1189</v>
      </c>
      <c r="C262" s="2">
        <v>2024</v>
      </c>
      <c r="D262" s="1" t="s">
        <v>24</v>
      </c>
      <c r="E262" s="2">
        <v>1</v>
      </c>
      <c r="F262" s="1" t="s">
        <v>1190</v>
      </c>
      <c r="G262" s="1"/>
      <c r="H262" s="2">
        <v>0</v>
      </c>
      <c r="I262" s="2">
        <v>20500</v>
      </c>
      <c r="J262" s="1" t="s">
        <v>1191</v>
      </c>
      <c r="K262" s="2">
        <v>20500</v>
      </c>
      <c r="L262" s="1" t="s">
        <v>29</v>
      </c>
      <c r="M262" s="1" t="s">
        <v>30</v>
      </c>
      <c r="N262" s="1" t="s">
        <v>20</v>
      </c>
      <c r="O262" s="1" t="s">
        <v>31</v>
      </c>
      <c r="P262" s="1" t="s">
        <v>20</v>
      </c>
      <c r="Q262" s="1" t="s">
        <v>33</v>
      </c>
      <c r="R262" s="1" t="s">
        <v>38</v>
      </c>
      <c r="S262" s="1" t="s">
        <v>32</v>
      </c>
      <c r="T262" s="3" t="str">
        <f>Sheet4!H262</f>
        <v xml:space="preserve"> View Map </v>
      </c>
    </row>
    <row r="263" spans="1:20" ht="15" x14ac:dyDescent="0.25">
      <c r="A263" s="1" t="s">
        <v>1192</v>
      </c>
      <c r="B263" s="1" t="s">
        <v>1193</v>
      </c>
      <c r="C263" s="2">
        <v>1968</v>
      </c>
      <c r="D263" s="1" t="s">
        <v>24</v>
      </c>
      <c r="E263" s="2">
        <v>1</v>
      </c>
      <c r="F263" s="1"/>
      <c r="G263" s="1" t="s">
        <v>1194</v>
      </c>
      <c r="H263" s="2">
        <v>1335</v>
      </c>
      <c r="I263" s="2">
        <v>28000</v>
      </c>
      <c r="J263" s="1" t="s">
        <v>1195</v>
      </c>
      <c r="K263" s="2">
        <v>28000</v>
      </c>
      <c r="L263" s="1" t="s">
        <v>29</v>
      </c>
      <c r="M263" s="1" t="s">
        <v>30</v>
      </c>
      <c r="N263" s="1" t="s">
        <v>20</v>
      </c>
      <c r="O263" s="1" t="s">
        <v>173</v>
      </c>
      <c r="P263" s="1" t="s">
        <v>20</v>
      </c>
      <c r="Q263" s="1" t="s">
        <v>179</v>
      </c>
      <c r="R263" s="1" t="s">
        <v>174</v>
      </c>
      <c r="S263" s="1" t="s">
        <v>32</v>
      </c>
      <c r="T263" s="3" t="str">
        <f>Sheet4!H263</f>
        <v xml:space="preserve"> View Map </v>
      </c>
    </row>
    <row r="264" spans="1:20" ht="15" x14ac:dyDescent="0.25">
      <c r="A264" s="1" t="s">
        <v>1196</v>
      </c>
      <c r="B264" s="1" t="s">
        <v>1197</v>
      </c>
      <c r="C264" s="2">
        <v>2005</v>
      </c>
      <c r="D264" s="1" t="s">
        <v>24</v>
      </c>
      <c r="E264" s="2">
        <v>1</v>
      </c>
      <c r="F264" s="1" t="s">
        <v>1198</v>
      </c>
      <c r="G264" s="1"/>
      <c r="H264" s="2">
        <v>0</v>
      </c>
      <c r="I264" s="2">
        <v>53000</v>
      </c>
      <c r="J264" s="1" t="s">
        <v>1199</v>
      </c>
      <c r="K264" s="2">
        <v>53000</v>
      </c>
      <c r="L264" s="1" t="s">
        <v>29</v>
      </c>
      <c r="M264" s="1" t="s">
        <v>30</v>
      </c>
      <c r="N264" s="1" t="s">
        <v>20</v>
      </c>
      <c r="O264" s="1" t="s">
        <v>173</v>
      </c>
      <c r="P264" s="1" t="s">
        <v>20</v>
      </c>
      <c r="Q264" s="1" t="s">
        <v>179</v>
      </c>
      <c r="R264" s="1" t="s">
        <v>174</v>
      </c>
      <c r="S264" s="1" t="s">
        <v>32</v>
      </c>
      <c r="T264" s="3" t="str">
        <f>Sheet4!H264</f>
        <v xml:space="preserve"> View Map </v>
      </c>
    </row>
    <row r="265" spans="1:20" ht="15" x14ac:dyDescent="0.25">
      <c r="A265" s="1" t="s">
        <v>1200</v>
      </c>
      <c r="B265" s="1" t="s">
        <v>1201</v>
      </c>
      <c r="C265" s="2">
        <v>2024</v>
      </c>
      <c r="D265" s="1" t="s">
        <v>24</v>
      </c>
      <c r="E265" s="2">
        <v>1</v>
      </c>
      <c r="F265" s="1" t="s">
        <v>41</v>
      </c>
      <c r="G265" s="1" t="s">
        <v>41</v>
      </c>
      <c r="H265" s="2">
        <v>1240</v>
      </c>
      <c r="I265" s="2">
        <v>35000</v>
      </c>
      <c r="J265" s="1" t="s">
        <v>1202</v>
      </c>
      <c r="K265" s="2">
        <v>15000</v>
      </c>
      <c r="L265" s="1" t="s">
        <v>29</v>
      </c>
      <c r="M265" s="1" t="s">
        <v>30</v>
      </c>
      <c r="N265" s="1" t="s">
        <v>20</v>
      </c>
      <c r="O265" s="1" t="s">
        <v>1169</v>
      </c>
      <c r="P265" s="1" t="s">
        <v>20</v>
      </c>
      <c r="Q265" s="1" t="s">
        <v>33</v>
      </c>
      <c r="R265" s="1" t="s">
        <v>44</v>
      </c>
      <c r="S265" s="1" t="s">
        <v>71</v>
      </c>
      <c r="T265" s="3" t="str">
        <f>Sheet4!H265</f>
        <v xml:space="preserve"> View Map </v>
      </c>
    </row>
    <row r="266" spans="1:20" ht="15" x14ac:dyDescent="0.25">
      <c r="A266" s="1" t="s">
        <v>1203</v>
      </c>
      <c r="B266" s="1" t="s">
        <v>1204</v>
      </c>
      <c r="C266" s="2">
        <v>2005</v>
      </c>
      <c r="D266" s="1" t="s">
        <v>24</v>
      </c>
      <c r="E266" s="2">
        <v>1</v>
      </c>
      <c r="F266" s="1" t="s">
        <v>1205</v>
      </c>
      <c r="G266" s="1"/>
      <c r="H266" s="2">
        <v>0</v>
      </c>
      <c r="I266" s="2">
        <v>50000</v>
      </c>
      <c r="J266" s="1" t="s">
        <v>1206</v>
      </c>
      <c r="K266" s="2">
        <v>50000</v>
      </c>
      <c r="L266" s="1" t="s">
        <v>29</v>
      </c>
      <c r="M266" s="1" t="s">
        <v>30</v>
      </c>
      <c r="N266" s="1" t="s">
        <v>20</v>
      </c>
      <c r="O266" s="1" t="s">
        <v>43</v>
      </c>
      <c r="P266" s="1" t="s">
        <v>20</v>
      </c>
      <c r="Q266" s="1" t="s">
        <v>21</v>
      </c>
      <c r="R266" s="1" t="s">
        <v>607</v>
      </c>
      <c r="S266" s="1" t="s">
        <v>32</v>
      </c>
      <c r="T266" s="3" t="str">
        <f>Sheet4!H266</f>
        <v xml:space="preserve"> View Map </v>
      </c>
    </row>
    <row r="267" spans="1:20" ht="15" x14ac:dyDescent="0.25">
      <c r="A267" s="1" t="s">
        <v>1207</v>
      </c>
      <c r="B267" s="1" t="s">
        <v>1208</v>
      </c>
      <c r="C267" s="2">
        <v>2005</v>
      </c>
      <c r="D267" s="1" t="s">
        <v>24</v>
      </c>
      <c r="E267" s="2">
        <v>1</v>
      </c>
      <c r="F267" s="1" t="s">
        <v>246</v>
      </c>
      <c r="G267" s="1"/>
      <c r="H267" s="2">
        <v>0</v>
      </c>
      <c r="I267" s="2">
        <v>45000</v>
      </c>
      <c r="J267" s="1" t="s">
        <v>1209</v>
      </c>
      <c r="K267" s="2">
        <v>45000</v>
      </c>
      <c r="L267" s="1" t="s">
        <v>29</v>
      </c>
      <c r="M267" s="1" t="s">
        <v>30</v>
      </c>
      <c r="N267" s="1" t="s">
        <v>20</v>
      </c>
      <c r="O267" s="1" t="s">
        <v>173</v>
      </c>
      <c r="P267" s="1" t="s">
        <v>20</v>
      </c>
      <c r="Q267" s="1" t="s">
        <v>179</v>
      </c>
      <c r="R267" s="1" t="s">
        <v>174</v>
      </c>
      <c r="S267" s="1" t="s">
        <v>32</v>
      </c>
      <c r="T267" s="3" t="str">
        <f>Sheet4!H267</f>
        <v xml:space="preserve"> View Map </v>
      </c>
    </row>
    <row r="268" spans="1:20" ht="15" x14ac:dyDescent="0.25">
      <c r="A268" s="1" t="s">
        <v>1210</v>
      </c>
      <c r="B268" s="1" t="s">
        <v>1211</v>
      </c>
      <c r="C268" s="2">
        <v>2018</v>
      </c>
      <c r="D268" s="1" t="s">
        <v>24</v>
      </c>
      <c r="E268" s="2">
        <v>0</v>
      </c>
      <c r="F268" s="1" t="s">
        <v>1212</v>
      </c>
      <c r="G268" s="1"/>
      <c r="H268" s="2">
        <v>100</v>
      </c>
      <c r="I268" s="2">
        <v>56000</v>
      </c>
      <c r="J268" s="1" t="s">
        <v>1213</v>
      </c>
      <c r="K268" s="1" t="s">
        <v>28</v>
      </c>
      <c r="L268" s="1" t="s">
        <v>68</v>
      </c>
      <c r="M268" s="1" t="s">
        <v>69</v>
      </c>
      <c r="N268" s="1" t="s">
        <v>72</v>
      </c>
      <c r="O268" s="1" t="s">
        <v>115</v>
      </c>
      <c r="P268" s="1" t="s">
        <v>72</v>
      </c>
      <c r="Q268" s="1" t="s">
        <v>639</v>
      </c>
      <c r="R268" s="1" t="s">
        <v>645</v>
      </c>
      <c r="S268" s="1" t="s">
        <v>71</v>
      </c>
      <c r="T268" s="3" t="str">
        <f>Sheet4!H268</f>
        <v xml:space="preserve"> View Map </v>
      </c>
    </row>
    <row r="269" spans="1:20" ht="15" x14ac:dyDescent="0.25">
      <c r="A269" s="1" t="s">
        <v>1214</v>
      </c>
      <c r="B269" s="1" t="s">
        <v>1215</v>
      </c>
      <c r="C269" s="2">
        <v>2015</v>
      </c>
      <c r="D269" s="1" t="s">
        <v>24</v>
      </c>
      <c r="E269" s="2">
        <v>1</v>
      </c>
      <c r="F269" s="1" t="s">
        <v>1216</v>
      </c>
      <c r="G269" s="1"/>
      <c r="H269" s="2">
        <v>0</v>
      </c>
      <c r="I269" s="2">
        <v>35000</v>
      </c>
      <c r="J269" s="1" t="s">
        <v>1217</v>
      </c>
      <c r="K269" s="2">
        <v>35000</v>
      </c>
      <c r="L269" s="1" t="s">
        <v>51</v>
      </c>
      <c r="M269" s="1" t="s">
        <v>159</v>
      </c>
      <c r="N269" s="1" t="s">
        <v>160</v>
      </c>
      <c r="O269" s="1" t="s">
        <v>587</v>
      </c>
      <c r="P269" s="1" t="s">
        <v>153</v>
      </c>
      <c r="Q269" s="1" t="s">
        <v>153</v>
      </c>
      <c r="R269" s="1" t="s">
        <v>588</v>
      </c>
      <c r="S269" s="1" t="s">
        <v>71</v>
      </c>
      <c r="T269" s="3" t="str">
        <f>Sheet4!H269</f>
        <v xml:space="preserve"> View Map </v>
      </c>
    </row>
    <row r="270" spans="1:20" ht="15" x14ac:dyDescent="0.25">
      <c r="A270" s="1" t="s">
        <v>1218</v>
      </c>
      <c r="B270" s="1" t="s">
        <v>1219</v>
      </c>
      <c r="C270" s="2">
        <v>2020</v>
      </c>
      <c r="D270" s="1" t="s">
        <v>24</v>
      </c>
      <c r="E270" s="2">
        <v>1</v>
      </c>
      <c r="F270" s="1" t="s">
        <v>1219</v>
      </c>
      <c r="G270" s="1"/>
      <c r="H270" s="2">
        <v>10</v>
      </c>
      <c r="I270" s="2">
        <v>30000</v>
      </c>
      <c r="J270" s="1" t="s">
        <v>1220</v>
      </c>
      <c r="K270" s="1" t="s">
        <v>28</v>
      </c>
      <c r="L270" s="1" t="s">
        <v>68</v>
      </c>
      <c r="M270" s="1" t="s">
        <v>69</v>
      </c>
      <c r="N270" s="1" t="s">
        <v>275</v>
      </c>
      <c r="O270" s="1" t="s">
        <v>1221</v>
      </c>
      <c r="P270" s="1" t="s">
        <v>275</v>
      </c>
      <c r="Q270" s="1" t="s">
        <v>276</v>
      </c>
      <c r="R270" s="1" t="s">
        <v>275</v>
      </c>
      <c r="S270" s="1" t="s">
        <v>71</v>
      </c>
      <c r="T270" s="3" t="str">
        <f>Sheet4!H270</f>
        <v xml:space="preserve"> View Map </v>
      </c>
    </row>
    <row r="271" spans="1:20" ht="15" x14ac:dyDescent="0.25">
      <c r="A271" s="1" t="s">
        <v>1222</v>
      </c>
      <c r="B271" s="1" t="s">
        <v>1223</v>
      </c>
      <c r="C271" s="2">
        <v>2018</v>
      </c>
      <c r="D271" s="1" t="s">
        <v>24</v>
      </c>
      <c r="E271" s="2">
        <v>0</v>
      </c>
      <c r="F271" s="1" t="s">
        <v>1224</v>
      </c>
      <c r="G271" s="1"/>
      <c r="H271" s="2">
        <v>125</v>
      </c>
      <c r="I271" s="2">
        <v>248100</v>
      </c>
      <c r="J271" s="1" t="s">
        <v>1225</v>
      </c>
      <c r="K271" s="2">
        <v>248100</v>
      </c>
      <c r="L271" s="1" t="s">
        <v>68</v>
      </c>
      <c r="M271" s="1" t="s">
        <v>69</v>
      </c>
      <c r="N271" s="1" t="s">
        <v>309</v>
      </c>
      <c r="O271" s="1" t="s">
        <v>1226</v>
      </c>
      <c r="P271" s="1" t="s">
        <v>304</v>
      </c>
      <c r="Q271" s="1" t="s">
        <v>432</v>
      </c>
      <c r="R271" s="1" t="s">
        <v>309</v>
      </c>
      <c r="S271" s="1" t="s">
        <v>71</v>
      </c>
      <c r="T271" s="3" t="str">
        <f>Sheet4!H271</f>
        <v xml:space="preserve"> View Map </v>
      </c>
    </row>
    <row r="272" spans="1:20" ht="15" x14ac:dyDescent="0.25">
      <c r="A272" s="1" t="s">
        <v>1227</v>
      </c>
      <c r="B272" s="1" t="s">
        <v>1228</v>
      </c>
      <c r="C272" s="2">
        <v>2021</v>
      </c>
      <c r="D272" s="1" t="s">
        <v>24</v>
      </c>
      <c r="E272" s="2">
        <v>1</v>
      </c>
      <c r="F272" s="1" t="s">
        <v>1229</v>
      </c>
      <c r="G272" s="1"/>
      <c r="H272" s="2">
        <v>0</v>
      </c>
      <c r="I272" s="2">
        <v>38000</v>
      </c>
      <c r="J272" s="1" t="s">
        <v>1230</v>
      </c>
      <c r="K272" s="2">
        <v>38000</v>
      </c>
      <c r="L272" s="1" t="s">
        <v>51</v>
      </c>
      <c r="M272" s="1" t="s">
        <v>52</v>
      </c>
      <c r="N272" s="1" t="s">
        <v>53</v>
      </c>
      <c r="O272" s="1" t="s">
        <v>401</v>
      </c>
      <c r="P272" s="1" t="s">
        <v>45</v>
      </c>
      <c r="Q272" s="1" t="s">
        <v>53</v>
      </c>
      <c r="R272" s="1" t="s">
        <v>204</v>
      </c>
      <c r="S272" s="1" t="s">
        <v>56</v>
      </c>
      <c r="T272" s="3" t="str">
        <f>Sheet4!H272</f>
        <v xml:space="preserve"> View Map </v>
      </c>
    </row>
    <row r="273" spans="1:20" ht="15" x14ac:dyDescent="0.25">
      <c r="A273" s="1" t="s">
        <v>1231</v>
      </c>
      <c r="B273" s="1" t="s">
        <v>1232</v>
      </c>
      <c r="C273" s="2">
        <v>2005</v>
      </c>
      <c r="D273" s="1" t="s">
        <v>28</v>
      </c>
      <c r="E273" s="2">
        <v>0</v>
      </c>
      <c r="F273" s="1" t="s">
        <v>28</v>
      </c>
      <c r="G273" s="1" t="s">
        <v>28</v>
      </c>
      <c r="H273" s="1" t="s">
        <v>28</v>
      </c>
      <c r="I273" s="1" t="s">
        <v>28</v>
      </c>
      <c r="J273" s="1"/>
      <c r="K273" s="1" t="s">
        <v>28</v>
      </c>
      <c r="L273" s="1" t="s">
        <v>29</v>
      </c>
      <c r="M273" s="1" t="s">
        <v>28</v>
      </c>
      <c r="N273" s="1" t="s">
        <v>160</v>
      </c>
      <c r="O273" s="1" t="s">
        <v>28</v>
      </c>
      <c r="P273" s="1" t="s">
        <v>45</v>
      </c>
      <c r="Q273" s="1" t="s">
        <v>28</v>
      </c>
      <c r="R273" s="1" t="s">
        <v>188</v>
      </c>
      <c r="S273" s="1" t="s">
        <v>71</v>
      </c>
      <c r="T273" s="3" t="str">
        <f>Sheet4!H273</f>
        <v xml:space="preserve"> View Map </v>
      </c>
    </row>
    <row r="274" spans="1:20" ht="15" x14ac:dyDescent="0.25">
      <c r="A274" s="1" t="s">
        <v>1233</v>
      </c>
      <c r="B274" s="1" t="s">
        <v>1234</v>
      </c>
      <c r="C274" s="2">
        <v>2024</v>
      </c>
      <c r="D274" s="1" t="s">
        <v>24</v>
      </c>
      <c r="E274" s="2">
        <v>1</v>
      </c>
      <c r="F274" s="1" t="s">
        <v>1235</v>
      </c>
      <c r="G274" s="1"/>
      <c r="H274" s="2">
        <v>630</v>
      </c>
      <c r="I274" s="2">
        <v>12000</v>
      </c>
      <c r="J274" s="1" t="s">
        <v>1236</v>
      </c>
      <c r="K274" s="2">
        <v>20458</v>
      </c>
      <c r="L274" s="1" t="s">
        <v>51</v>
      </c>
      <c r="M274" s="1" t="s">
        <v>52</v>
      </c>
      <c r="N274" s="1" t="s">
        <v>162</v>
      </c>
      <c r="O274" s="1" t="s">
        <v>693</v>
      </c>
      <c r="P274" s="1" t="s">
        <v>162</v>
      </c>
      <c r="Q274" s="1" t="s">
        <v>516</v>
      </c>
      <c r="R274" s="1" t="s">
        <v>162</v>
      </c>
      <c r="S274" s="1" t="s">
        <v>71</v>
      </c>
      <c r="T274" s="3" t="str">
        <f>Sheet4!H274</f>
        <v xml:space="preserve"> View Map </v>
      </c>
    </row>
    <row r="275" spans="1:20" ht="15" x14ac:dyDescent="0.25">
      <c r="A275" s="1" t="s">
        <v>1237</v>
      </c>
      <c r="B275" s="1" t="s">
        <v>1238</v>
      </c>
      <c r="C275" s="2">
        <v>2005</v>
      </c>
      <c r="D275" s="1" t="s">
        <v>24</v>
      </c>
      <c r="E275" s="2">
        <v>1</v>
      </c>
      <c r="F275" s="1" t="s">
        <v>1239</v>
      </c>
      <c r="G275" s="1"/>
      <c r="H275" s="2">
        <v>0</v>
      </c>
      <c r="I275" s="2">
        <v>30000</v>
      </c>
      <c r="J275" s="1" t="s">
        <v>1240</v>
      </c>
      <c r="K275" s="2">
        <v>30000</v>
      </c>
      <c r="L275" s="1" t="s">
        <v>29</v>
      </c>
      <c r="M275" s="1" t="s">
        <v>30</v>
      </c>
      <c r="N275" s="1" t="s">
        <v>20</v>
      </c>
      <c r="O275" s="1" t="s">
        <v>43</v>
      </c>
      <c r="P275" s="1" t="s">
        <v>20</v>
      </c>
      <c r="Q275" s="1" t="s">
        <v>21</v>
      </c>
      <c r="R275" s="1" t="s">
        <v>44</v>
      </c>
      <c r="S275" s="1" t="s">
        <v>32</v>
      </c>
      <c r="T275" s="3" t="str">
        <f>Sheet4!H275</f>
        <v xml:space="preserve"> View Map </v>
      </c>
    </row>
    <row r="276" spans="1:20" ht="15" x14ac:dyDescent="0.25">
      <c r="A276" s="1" t="s">
        <v>1241</v>
      </c>
      <c r="B276" s="1" t="s">
        <v>1242</v>
      </c>
      <c r="C276" s="2">
        <v>2021</v>
      </c>
      <c r="D276" s="1" t="s">
        <v>24</v>
      </c>
      <c r="E276" s="2">
        <v>1</v>
      </c>
      <c r="F276" s="1" t="s">
        <v>1243</v>
      </c>
      <c r="G276" s="1"/>
      <c r="H276" s="2">
        <v>0</v>
      </c>
      <c r="I276" s="2">
        <v>32000</v>
      </c>
      <c r="J276" s="1" t="s">
        <v>1244</v>
      </c>
      <c r="K276" s="2">
        <v>32000</v>
      </c>
      <c r="L276" s="1" t="s">
        <v>29</v>
      </c>
      <c r="M276" s="1" t="s">
        <v>30</v>
      </c>
      <c r="N276" s="1" t="s">
        <v>20</v>
      </c>
      <c r="O276" s="1" t="s">
        <v>31</v>
      </c>
      <c r="P276" s="1" t="s">
        <v>20</v>
      </c>
      <c r="Q276" s="1" t="s">
        <v>33</v>
      </c>
      <c r="R276" s="1" t="s">
        <v>90</v>
      </c>
      <c r="S276" s="1" t="s">
        <v>32</v>
      </c>
      <c r="T276" s="3" t="str">
        <f>Sheet4!H276</f>
        <v xml:space="preserve"> View Map </v>
      </c>
    </row>
    <row r="277" spans="1:20" ht="15" x14ac:dyDescent="0.25">
      <c r="A277" s="1" t="s">
        <v>1245</v>
      </c>
      <c r="B277" s="1" t="s">
        <v>1246</v>
      </c>
      <c r="C277" s="2">
        <v>2005</v>
      </c>
      <c r="D277" s="1" t="s">
        <v>24</v>
      </c>
      <c r="E277" s="2">
        <v>1</v>
      </c>
      <c r="F277" s="1" t="s">
        <v>1247</v>
      </c>
      <c r="G277" s="1"/>
      <c r="H277" s="2">
        <v>564</v>
      </c>
      <c r="I277" s="2">
        <v>58000</v>
      </c>
      <c r="J277" s="1" t="s">
        <v>1248</v>
      </c>
      <c r="K277" s="2">
        <v>50000</v>
      </c>
      <c r="L277" s="1" t="s">
        <v>68</v>
      </c>
      <c r="M277" s="1" t="s">
        <v>69</v>
      </c>
      <c r="N277" s="1" t="s">
        <v>162</v>
      </c>
      <c r="O277" s="1" t="s">
        <v>1249</v>
      </c>
      <c r="P277" s="1" t="s">
        <v>162</v>
      </c>
      <c r="Q277" s="1" t="s">
        <v>355</v>
      </c>
      <c r="R277" s="1" t="s">
        <v>561</v>
      </c>
      <c r="S277" s="1" t="s">
        <v>32</v>
      </c>
      <c r="T277" s="3" t="str">
        <f>Sheet4!H277</f>
        <v xml:space="preserve"> View Map </v>
      </c>
    </row>
    <row r="278" spans="1:20" ht="15" x14ac:dyDescent="0.25">
      <c r="A278" s="1" t="s">
        <v>1250</v>
      </c>
      <c r="B278" s="1" t="s">
        <v>1251</v>
      </c>
      <c r="C278" s="2">
        <v>2021</v>
      </c>
      <c r="D278" s="1" t="s">
        <v>24</v>
      </c>
      <c r="E278" s="2">
        <v>1</v>
      </c>
      <c r="F278" s="1" t="s">
        <v>1252</v>
      </c>
      <c r="G278" s="1"/>
      <c r="H278" s="2">
        <v>1500</v>
      </c>
      <c r="I278" s="2">
        <v>85000</v>
      </c>
      <c r="J278" s="1" t="s">
        <v>1253</v>
      </c>
      <c r="K278" s="2">
        <v>65000</v>
      </c>
      <c r="L278" s="1" t="s">
        <v>51</v>
      </c>
      <c r="M278" s="1" t="s">
        <v>52</v>
      </c>
      <c r="N278" s="1" t="s">
        <v>20</v>
      </c>
      <c r="O278" s="1" t="s">
        <v>173</v>
      </c>
      <c r="P278" s="1" t="s">
        <v>20</v>
      </c>
      <c r="Q278" s="1" t="s">
        <v>168</v>
      </c>
      <c r="R278" s="1" t="s">
        <v>55</v>
      </c>
      <c r="S278" s="1" t="s">
        <v>32</v>
      </c>
      <c r="T278" s="3" t="str">
        <f>Sheet4!H278</f>
        <v xml:space="preserve"> View Map </v>
      </c>
    </row>
    <row r="279" spans="1:20" ht="15" x14ac:dyDescent="0.25">
      <c r="A279" s="1" t="s">
        <v>1254</v>
      </c>
      <c r="B279" s="1" t="s">
        <v>1255</v>
      </c>
      <c r="C279" s="2">
        <v>2005</v>
      </c>
      <c r="D279" s="1" t="s">
        <v>24</v>
      </c>
      <c r="E279" s="2">
        <v>1</v>
      </c>
      <c r="F279" s="1" t="s">
        <v>1256</v>
      </c>
      <c r="G279" s="1"/>
      <c r="H279" s="2">
        <v>0</v>
      </c>
      <c r="I279" s="2">
        <v>71000</v>
      </c>
      <c r="J279" s="1" t="s">
        <v>1257</v>
      </c>
      <c r="K279" s="2">
        <v>71000</v>
      </c>
      <c r="L279" s="1" t="s">
        <v>29</v>
      </c>
      <c r="M279" s="1" t="s">
        <v>30</v>
      </c>
      <c r="N279" s="1" t="s">
        <v>20</v>
      </c>
      <c r="O279" s="1" t="s">
        <v>173</v>
      </c>
      <c r="P279" s="1" t="s">
        <v>20</v>
      </c>
      <c r="Q279" s="1" t="s">
        <v>179</v>
      </c>
      <c r="R279" s="1" t="s">
        <v>738</v>
      </c>
      <c r="S279" s="1" t="s">
        <v>32</v>
      </c>
      <c r="T279" s="3" t="str">
        <f>Sheet4!H279</f>
        <v xml:space="preserve"> View Map </v>
      </c>
    </row>
    <row r="280" spans="1:20" ht="15" x14ac:dyDescent="0.25">
      <c r="A280" s="1" t="s">
        <v>1258</v>
      </c>
      <c r="B280" s="1" t="s">
        <v>1259</v>
      </c>
      <c r="C280" s="2">
        <v>2024</v>
      </c>
      <c r="D280" s="1" t="s">
        <v>24</v>
      </c>
      <c r="E280" s="2">
        <v>1</v>
      </c>
      <c r="F280" s="1" t="s">
        <v>1260</v>
      </c>
      <c r="G280" s="1" t="s">
        <v>1261</v>
      </c>
      <c r="H280" s="2">
        <v>2740</v>
      </c>
      <c r="I280" s="2">
        <v>38500</v>
      </c>
      <c r="J280" s="1" t="s">
        <v>1262</v>
      </c>
      <c r="K280" s="2">
        <v>38500</v>
      </c>
      <c r="L280" s="1" t="s">
        <v>51</v>
      </c>
      <c r="M280" s="1" t="s">
        <v>52</v>
      </c>
      <c r="N280" s="1" t="s">
        <v>53</v>
      </c>
      <c r="O280" s="1" t="s">
        <v>62</v>
      </c>
      <c r="P280" s="1" t="s">
        <v>45</v>
      </c>
      <c r="Q280" s="1" t="s">
        <v>46</v>
      </c>
      <c r="R280" s="1" t="s">
        <v>55</v>
      </c>
      <c r="S280" s="1" t="s">
        <v>71</v>
      </c>
      <c r="T280" s="3" t="str">
        <f>Sheet4!H280</f>
        <v xml:space="preserve"> View Map </v>
      </c>
    </row>
    <row r="281" spans="1:20" ht="15" x14ac:dyDescent="0.25">
      <c r="A281" s="1" t="s">
        <v>1263</v>
      </c>
      <c r="B281" s="1" t="s">
        <v>1264</v>
      </c>
      <c r="C281" s="2">
        <v>0</v>
      </c>
      <c r="D281" s="1" t="s">
        <v>24</v>
      </c>
      <c r="E281" s="2">
        <v>1</v>
      </c>
      <c r="F281" s="1" t="s">
        <v>1265</v>
      </c>
      <c r="G281" s="1" t="s">
        <v>1266</v>
      </c>
      <c r="H281" s="2">
        <v>1365</v>
      </c>
      <c r="I281" s="2">
        <v>52000</v>
      </c>
      <c r="J281" s="1" t="s">
        <v>1267</v>
      </c>
      <c r="K281" s="1" t="s">
        <v>28</v>
      </c>
      <c r="L281" s="1" t="s">
        <v>51</v>
      </c>
      <c r="M281" s="1" t="s">
        <v>52</v>
      </c>
      <c r="N281" s="1" t="s">
        <v>53</v>
      </c>
      <c r="O281" s="1" t="s">
        <v>62</v>
      </c>
      <c r="P281" s="1" t="s">
        <v>45</v>
      </c>
      <c r="Q281" s="1" t="s">
        <v>46</v>
      </c>
      <c r="R281" s="1" t="s">
        <v>105</v>
      </c>
      <c r="S281" s="1" t="s">
        <v>71</v>
      </c>
      <c r="T281" s="3" t="str">
        <f>Sheet4!H281</f>
        <v xml:space="preserve"> View Map </v>
      </c>
    </row>
    <row r="282" spans="1:20" ht="15" x14ac:dyDescent="0.25">
      <c r="A282" s="1" t="s">
        <v>1268</v>
      </c>
      <c r="B282" s="1" t="s">
        <v>1269</v>
      </c>
      <c r="C282" s="2">
        <v>2005</v>
      </c>
      <c r="D282" s="1" t="s">
        <v>24</v>
      </c>
      <c r="E282" s="2">
        <v>1</v>
      </c>
      <c r="F282" s="1" t="s">
        <v>171</v>
      </c>
      <c r="G282" s="1"/>
      <c r="H282" s="2">
        <v>0</v>
      </c>
      <c r="I282" s="2">
        <v>52000</v>
      </c>
      <c r="J282" s="1" t="s">
        <v>1270</v>
      </c>
      <c r="K282" s="2">
        <v>52000</v>
      </c>
      <c r="L282" s="1" t="s">
        <v>29</v>
      </c>
      <c r="M282" s="1" t="s">
        <v>30</v>
      </c>
      <c r="N282" s="1" t="s">
        <v>20</v>
      </c>
      <c r="O282" s="1" t="s">
        <v>173</v>
      </c>
      <c r="P282" s="1" t="s">
        <v>20</v>
      </c>
      <c r="Q282" s="1" t="s">
        <v>168</v>
      </c>
      <c r="R282" s="1" t="s">
        <v>174</v>
      </c>
      <c r="S282" s="1" t="s">
        <v>32</v>
      </c>
      <c r="T282" s="3" t="str">
        <f>Sheet4!H282</f>
        <v xml:space="preserve"> View Map </v>
      </c>
    </row>
    <row r="283" spans="1:20" ht="15" x14ac:dyDescent="0.25">
      <c r="A283" s="1" t="s">
        <v>1271</v>
      </c>
      <c r="B283" s="1" t="s">
        <v>1272</v>
      </c>
      <c r="C283" s="2">
        <v>2005</v>
      </c>
      <c r="D283" s="1" t="s">
        <v>24</v>
      </c>
      <c r="E283" s="2">
        <v>0</v>
      </c>
      <c r="F283" s="1" t="s">
        <v>1273</v>
      </c>
      <c r="G283" s="1"/>
      <c r="H283" s="2">
        <v>0</v>
      </c>
      <c r="I283" s="2">
        <v>25500</v>
      </c>
      <c r="J283" s="1" t="s">
        <v>1274</v>
      </c>
      <c r="K283" s="1" t="s">
        <v>28</v>
      </c>
      <c r="L283" s="1" t="s">
        <v>51</v>
      </c>
      <c r="M283" s="1" t="s">
        <v>52</v>
      </c>
      <c r="N283" s="1" t="s">
        <v>53</v>
      </c>
      <c r="O283" s="1" t="s">
        <v>440</v>
      </c>
      <c r="P283" s="1" t="s">
        <v>45</v>
      </c>
      <c r="Q283" s="1" t="s">
        <v>146</v>
      </c>
      <c r="R283" s="1" t="s">
        <v>443</v>
      </c>
      <c r="S283" s="1" t="s">
        <v>56</v>
      </c>
      <c r="T283" s="3" t="str">
        <f>Sheet4!H283</f>
        <v xml:space="preserve"> View Map </v>
      </c>
    </row>
    <row r="284" spans="1:20" ht="15" x14ac:dyDescent="0.25">
      <c r="A284" s="1" t="s">
        <v>1275</v>
      </c>
      <c r="B284" s="1" t="s">
        <v>1276</v>
      </c>
      <c r="C284" s="2">
        <v>2018</v>
      </c>
      <c r="D284" s="1" t="s">
        <v>24</v>
      </c>
      <c r="E284" s="2">
        <v>1</v>
      </c>
      <c r="F284" s="1" t="s">
        <v>1277</v>
      </c>
      <c r="G284" s="1" t="s">
        <v>1278</v>
      </c>
      <c r="H284" s="2">
        <v>0</v>
      </c>
      <c r="I284" s="2">
        <v>40000</v>
      </c>
      <c r="J284" s="1" t="s">
        <v>1279</v>
      </c>
      <c r="K284" s="2">
        <v>40000</v>
      </c>
      <c r="L284" s="1" t="s">
        <v>51</v>
      </c>
      <c r="M284" s="1" t="s">
        <v>52</v>
      </c>
      <c r="N284" s="1" t="s">
        <v>53</v>
      </c>
      <c r="O284" s="1" t="s">
        <v>62</v>
      </c>
      <c r="P284" s="1" t="s">
        <v>45</v>
      </c>
      <c r="Q284" s="1" t="s">
        <v>46</v>
      </c>
      <c r="R284" s="1" t="s">
        <v>55</v>
      </c>
      <c r="S284" s="1" t="s">
        <v>71</v>
      </c>
      <c r="T284" s="3" t="str">
        <f>Sheet4!H284</f>
        <v xml:space="preserve"> View Map </v>
      </c>
    </row>
    <row r="285" spans="1:20" ht="15" x14ac:dyDescent="0.25">
      <c r="A285" s="1" t="s">
        <v>1280</v>
      </c>
      <c r="B285" s="1" t="s">
        <v>1281</v>
      </c>
      <c r="C285" s="2">
        <v>2005</v>
      </c>
      <c r="D285" s="1" t="s">
        <v>81</v>
      </c>
      <c r="E285" s="2">
        <v>0</v>
      </c>
      <c r="F285" s="1"/>
      <c r="G285" s="1" t="s">
        <v>1282</v>
      </c>
      <c r="H285" s="2">
        <v>1066</v>
      </c>
      <c r="I285" s="2">
        <v>0</v>
      </c>
      <c r="J285" s="1" t="s">
        <v>1283</v>
      </c>
      <c r="K285" s="1" t="s">
        <v>28</v>
      </c>
      <c r="L285" s="1" t="s">
        <v>51</v>
      </c>
      <c r="M285" s="1" t="s">
        <v>52</v>
      </c>
      <c r="N285" s="1" t="s">
        <v>53</v>
      </c>
      <c r="O285" s="1" t="s">
        <v>28</v>
      </c>
      <c r="P285" s="1" t="s">
        <v>45</v>
      </c>
      <c r="Q285" s="1" t="s">
        <v>146</v>
      </c>
      <c r="R285" s="1" t="s">
        <v>105</v>
      </c>
      <c r="S285" s="1" t="s">
        <v>71</v>
      </c>
      <c r="T285" s="3" t="str">
        <f>Sheet4!H285</f>
        <v xml:space="preserve"> View Map </v>
      </c>
    </row>
    <row r="286" spans="1:20" ht="15" x14ac:dyDescent="0.25">
      <c r="A286" s="1" t="s">
        <v>1284</v>
      </c>
      <c r="B286" s="1" t="s">
        <v>1285</v>
      </c>
      <c r="C286" s="2">
        <v>2005</v>
      </c>
      <c r="D286" s="1" t="s">
        <v>24</v>
      </c>
      <c r="E286" s="2">
        <v>1</v>
      </c>
      <c r="F286" s="1" t="s">
        <v>1286</v>
      </c>
      <c r="G286" s="1"/>
      <c r="H286" s="2">
        <v>0</v>
      </c>
      <c r="I286" s="2">
        <v>40000</v>
      </c>
      <c r="J286" s="1" t="s">
        <v>1287</v>
      </c>
      <c r="K286" s="2">
        <v>40000</v>
      </c>
      <c r="L286" s="1" t="s">
        <v>29</v>
      </c>
      <c r="M286" s="1" t="s">
        <v>30</v>
      </c>
      <c r="N286" s="1" t="s">
        <v>20</v>
      </c>
      <c r="O286" s="1" t="s">
        <v>31</v>
      </c>
      <c r="P286" s="1" t="s">
        <v>20</v>
      </c>
      <c r="Q286" s="1" t="s">
        <v>33</v>
      </c>
      <c r="R286" s="1" t="s">
        <v>38</v>
      </c>
      <c r="S286" s="1" t="s">
        <v>32</v>
      </c>
      <c r="T286" s="3" t="str">
        <f>Sheet4!H286</f>
        <v xml:space="preserve"> View Map </v>
      </c>
    </row>
    <row r="287" spans="1:20" ht="15" x14ac:dyDescent="0.25">
      <c r="A287" s="1" t="s">
        <v>1288</v>
      </c>
      <c r="B287" s="1" t="s">
        <v>1289</v>
      </c>
      <c r="C287" s="2">
        <v>0</v>
      </c>
      <c r="D287" s="1" t="s">
        <v>24</v>
      </c>
      <c r="E287" s="2">
        <v>1</v>
      </c>
      <c r="F287" s="1"/>
      <c r="G287" s="1" t="s">
        <v>649</v>
      </c>
      <c r="H287" s="2">
        <v>4550</v>
      </c>
      <c r="I287" s="2">
        <v>70000</v>
      </c>
      <c r="J287" s="1" t="s">
        <v>1290</v>
      </c>
      <c r="K287" s="2">
        <v>60000</v>
      </c>
      <c r="L287" s="1" t="s">
        <v>29</v>
      </c>
      <c r="M287" s="1" t="s">
        <v>30</v>
      </c>
      <c r="N287" s="1" t="s">
        <v>20</v>
      </c>
      <c r="O287" s="1" t="s">
        <v>31</v>
      </c>
      <c r="P287" s="1" t="s">
        <v>20</v>
      </c>
      <c r="Q287" s="1" t="s">
        <v>33</v>
      </c>
      <c r="R287" s="1" t="s">
        <v>38</v>
      </c>
      <c r="S287" s="1" t="s">
        <v>32</v>
      </c>
      <c r="T287" s="3" t="str">
        <f>Sheet4!H287</f>
        <v xml:space="preserve"> View Map </v>
      </c>
    </row>
    <row r="288" spans="1:20" ht="15" x14ac:dyDescent="0.25">
      <c r="A288" s="1" t="s">
        <v>1291</v>
      </c>
      <c r="B288" s="1" t="s">
        <v>1292</v>
      </c>
      <c r="C288" s="2">
        <v>2005</v>
      </c>
      <c r="D288" s="1" t="s">
        <v>24</v>
      </c>
      <c r="E288" s="2">
        <v>1</v>
      </c>
      <c r="F288" s="1" t="s">
        <v>1293</v>
      </c>
      <c r="G288" s="1"/>
      <c r="H288" s="2">
        <v>0</v>
      </c>
      <c r="I288" s="2">
        <v>28000</v>
      </c>
      <c r="J288" s="1" t="s">
        <v>1294</v>
      </c>
      <c r="K288" s="2">
        <v>15000</v>
      </c>
      <c r="L288" s="1" t="s">
        <v>29</v>
      </c>
      <c r="M288" s="1" t="s">
        <v>134</v>
      </c>
      <c r="N288" s="1" t="s">
        <v>160</v>
      </c>
      <c r="O288" s="1" t="s">
        <v>944</v>
      </c>
      <c r="P288" s="1" t="s">
        <v>153</v>
      </c>
      <c r="Q288" s="1" t="s">
        <v>193</v>
      </c>
      <c r="R288" s="1" t="s">
        <v>945</v>
      </c>
      <c r="S288" s="1" t="s">
        <v>32</v>
      </c>
      <c r="T288" s="3" t="str">
        <f>Sheet4!H288</f>
        <v xml:space="preserve"> View Map </v>
      </c>
    </row>
    <row r="289" spans="1:20" ht="15" x14ac:dyDescent="0.25">
      <c r="A289" s="1" t="s">
        <v>1295</v>
      </c>
      <c r="B289" s="1" t="s">
        <v>1296</v>
      </c>
      <c r="C289" s="2">
        <v>2005</v>
      </c>
      <c r="D289" s="1" t="s">
        <v>24</v>
      </c>
      <c r="E289" s="2">
        <v>1</v>
      </c>
      <c r="F289" s="1" t="s">
        <v>1297</v>
      </c>
      <c r="G289" s="1"/>
      <c r="H289" s="2">
        <v>792</v>
      </c>
      <c r="I289" s="2">
        <v>83000</v>
      </c>
      <c r="J289" s="1" t="s">
        <v>1298</v>
      </c>
      <c r="K289" s="2">
        <v>50000</v>
      </c>
      <c r="L289" s="1" t="s">
        <v>51</v>
      </c>
      <c r="M289" s="1" t="s">
        <v>159</v>
      </c>
      <c r="N289" s="1" t="s">
        <v>160</v>
      </c>
      <c r="O289" s="1" t="s">
        <v>944</v>
      </c>
      <c r="P289" s="1" t="s">
        <v>153</v>
      </c>
      <c r="Q289" s="1" t="s">
        <v>193</v>
      </c>
      <c r="R289" s="1" t="s">
        <v>945</v>
      </c>
      <c r="S289" s="1" t="s">
        <v>32</v>
      </c>
      <c r="T289" s="3" t="str">
        <f>Sheet4!H289</f>
        <v xml:space="preserve"> View Map </v>
      </c>
    </row>
    <row r="290" spans="1:20" ht="15" x14ac:dyDescent="0.25">
      <c r="A290" s="1" t="s">
        <v>1299</v>
      </c>
      <c r="B290" s="1" t="s">
        <v>1300</v>
      </c>
      <c r="C290" s="2">
        <v>0</v>
      </c>
      <c r="D290" s="1" t="s">
        <v>24</v>
      </c>
      <c r="E290" s="2">
        <v>1</v>
      </c>
      <c r="F290" s="1" t="s">
        <v>1301</v>
      </c>
      <c r="G290" s="1" t="s">
        <v>1302</v>
      </c>
      <c r="H290" s="2">
        <v>810</v>
      </c>
      <c r="I290" s="2">
        <v>49000</v>
      </c>
      <c r="J290" s="1" t="s">
        <v>1303</v>
      </c>
      <c r="K290" s="2">
        <v>49000</v>
      </c>
      <c r="L290" s="1" t="s">
        <v>51</v>
      </c>
      <c r="M290" s="1" t="s">
        <v>159</v>
      </c>
      <c r="N290" s="1" t="s">
        <v>160</v>
      </c>
      <c r="O290" s="1" t="s">
        <v>187</v>
      </c>
      <c r="P290" s="1" t="s">
        <v>153</v>
      </c>
      <c r="Q290" s="1" t="s">
        <v>184</v>
      </c>
      <c r="R290" s="1" t="s">
        <v>188</v>
      </c>
      <c r="S290" s="1" t="s">
        <v>32</v>
      </c>
      <c r="T290" s="3" t="str">
        <f>Sheet4!H290</f>
        <v xml:space="preserve"> View Map </v>
      </c>
    </row>
    <row r="291" spans="1:20" ht="15" x14ac:dyDescent="0.25">
      <c r="A291" s="1" t="s">
        <v>1304</v>
      </c>
      <c r="B291" s="1" t="s">
        <v>1305</v>
      </c>
      <c r="C291" s="2">
        <v>2005</v>
      </c>
      <c r="D291" s="1" t="s">
        <v>24</v>
      </c>
      <c r="E291" s="2">
        <v>1</v>
      </c>
      <c r="F291" s="1" t="s">
        <v>1306</v>
      </c>
      <c r="G291" s="1"/>
      <c r="H291" s="2">
        <v>0</v>
      </c>
      <c r="I291" s="2">
        <v>91000</v>
      </c>
      <c r="J291" s="1" t="s">
        <v>1307</v>
      </c>
      <c r="K291" s="2">
        <v>91000</v>
      </c>
      <c r="L291" s="1" t="s">
        <v>68</v>
      </c>
      <c r="M291" s="1" t="s">
        <v>69</v>
      </c>
      <c r="N291" s="1" t="s">
        <v>322</v>
      </c>
      <c r="O291" s="1" t="s">
        <v>636</v>
      </c>
      <c r="P291" s="1" t="s">
        <v>162</v>
      </c>
      <c r="Q291" s="1" t="s">
        <v>316</v>
      </c>
      <c r="R291" s="1" t="s">
        <v>784</v>
      </c>
      <c r="S291" s="1" t="s">
        <v>32</v>
      </c>
      <c r="T291" s="3" t="str">
        <f>Sheet4!H291</f>
        <v xml:space="preserve"> View Map </v>
      </c>
    </row>
    <row r="292" spans="1:20" ht="15" x14ac:dyDescent="0.25">
      <c r="A292" s="1" t="s">
        <v>1308</v>
      </c>
      <c r="B292" s="1" t="s">
        <v>1309</v>
      </c>
      <c r="C292" s="2">
        <v>2020</v>
      </c>
      <c r="D292" s="1" t="s">
        <v>24</v>
      </c>
      <c r="E292" s="2">
        <v>0</v>
      </c>
      <c r="F292" s="1" t="s">
        <v>1310</v>
      </c>
      <c r="G292" s="1" t="s">
        <v>1311</v>
      </c>
      <c r="H292" s="2">
        <v>4600</v>
      </c>
      <c r="I292" s="2">
        <v>12000</v>
      </c>
      <c r="J292" s="1" t="s">
        <v>1312</v>
      </c>
      <c r="K292" s="2">
        <v>12000</v>
      </c>
      <c r="L292" s="1" t="s">
        <v>29</v>
      </c>
      <c r="M292" s="1" t="s">
        <v>134</v>
      </c>
      <c r="N292" s="1" t="s">
        <v>20</v>
      </c>
      <c r="O292" s="1" t="s">
        <v>135</v>
      </c>
      <c r="P292" s="1" t="s">
        <v>20</v>
      </c>
      <c r="Q292" s="1" t="s">
        <v>129</v>
      </c>
      <c r="R292" s="1" t="s">
        <v>136</v>
      </c>
      <c r="S292" s="1" t="s">
        <v>32</v>
      </c>
      <c r="T292" s="3" t="str">
        <f>Sheet4!H292</f>
        <v xml:space="preserve"> View Map </v>
      </c>
    </row>
    <row r="293" spans="1:20" ht="15" x14ac:dyDescent="0.25">
      <c r="A293" s="1" t="s">
        <v>1313</v>
      </c>
      <c r="B293" s="1" t="s">
        <v>1314</v>
      </c>
      <c r="C293" s="2">
        <v>2005</v>
      </c>
      <c r="D293" s="1" t="s">
        <v>81</v>
      </c>
      <c r="E293" s="2">
        <v>0</v>
      </c>
      <c r="F293" s="1" t="s">
        <v>1315</v>
      </c>
      <c r="G293" s="1"/>
      <c r="H293" s="2">
        <v>0</v>
      </c>
      <c r="I293" s="2">
        <v>0</v>
      </c>
      <c r="J293" s="1"/>
      <c r="K293" s="1" t="s">
        <v>28</v>
      </c>
      <c r="L293" s="1" t="s">
        <v>29</v>
      </c>
      <c r="M293" s="1" t="s">
        <v>30</v>
      </c>
      <c r="N293" s="1" t="s">
        <v>20</v>
      </c>
      <c r="O293" s="1" t="s">
        <v>28</v>
      </c>
      <c r="P293" s="1" t="s">
        <v>45</v>
      </c>
      <c r="Q293" s="1" t="s">
        <v>53</v>
      </c>
      <c r="R293" s="1" t="s">
        <v>85</v>
      </c>
      <c r="S293" s="1" t="s">
        <v>56</v>
      </c>
      <c r="T293" s="3" t="str">
        <f>Sheet4!H293</f>
        <v xml:space="preserve"> View Map </v>
      </c>
    </row>
    <row r="294" spans="1:20" ht="15" x14ac:dyDescent="0.25">
      <c r="A294" s="1" t="s">
        <v>1316</v>
      </c>
      <c r="B294" s="1" t="s">
        <v>1317</v>
      </c>
      <c r="C294" s="2">
        <v>2005</v>
      </c>
      <c r="D294" s="1" t="s">
        <v>24</v>
      </c>
      <c r="E294" s="2">
        <v>1</v>
      </c>
      <c r="F294" s="1" t="s">
        <v>1318</v>
      </c>
      <c r="G294" s="1"/>
      <c r="H294" s="2">
        <v>0</v>
      </c>
      <c r="I294" s="2">
        <v>74123</v>
      </c>
      <c r="J294" s="1" t="s">
        <v>1319</v>
      </c>
      <c r="K294" s="2">
        <v>74123</v>
      </c>
      <c r="L294" s="1" t="s">
        <v>51</v>
      </c>
      <c r="M294" s="1" t="s">
        <v>159</v>
      </c>
      <c r="N294" s="1" t="s">
        <v>160</v>
      </c>
      <c r="O294" s="1" t="s">
        <v>187</v>
      </c>
      <c r="P294" s="1" t="s">
        <v>153</v>
      </c>
      <c r="Q294" s="1" t="s">
        <v>184</v>
      </c>
      <c r="R294" s="1" t="s">
        <v>459</v>
      </c>
      <c r="S294" s="1" t="s">
        <v>32</v>
      </c>
      <c r="T294" s="3" t="str">
        <f>Sheet4!H294</f>
        <v xml:space="preserve"> View Map </v>
      </c>
    </row>
    <row r="295" spans="1:20" ht="15" x14ac:dyDescent="0.25">
      <c r="A295" s="1" t="s">
        <v>1320</v>
      </c>
      <c r="B295" s="1" t="s">
        <v>1321</v>
      </c>
      <c r="C295" s="2">
        <v>2005</v>
      </c>
      <c r="D295" s="1" t="s">
        <v>24</v>
      </c>
      <c r="E295" s="2">
        <v>1</v>
      </c>
      <c r="F295" s="1" t="s">
        <v>1322</v>
      </c>
      <c r="G295" s="1"/>
      <c r="H295" s="2">
        <v>0</v>
      </c>
      <c r="I295" s="2">
        <v>60000</v>
      </c>
      <c r="J295" s="1" t="s">
        <v>1323</v>
      </c>
      <c r="K295" s="2">
        <v>60000</v>
      </c>
      <c r="L295" s="1" t="s">
        <v>29</v>
      </c>
      <c r="M295" s="1" t="s">
        <v>134</v>
      </c>
      <c r="N295" s="1" t="s">
        <v>160</v>
      </c>
      <c r="O295" s="1" t="s">
        <v>587</v>
      </c>
      <c r="P295" s="1" t="s">
        <v>153</v>
      </c>
      <c r="Q295" s="1" t="s">
        <v>153</v>
      </c>
      <c r="R295" s="1" t="s">
        <v>459</v>
      </c>
      <c r="S295" s="1" t="s">
        <v>32</v>
      </c>
      <c r="T295" s="3" t="str">
        <f>Sheet4!H295</f>
        <v xml:space="preserve"> View Map </v>
      </c>
    </row>
    <row r="296" spans="1:20" ht="15" x14ac:dyDescent="0.25">
      <c r="A296" s="1" t="s">
        <v>1324</v>
      </c>
      <c r="B296" s="1" t="s">
        <v>1325</v>
      </c>
      <c r="C296" s="2">
        <v>2005</v>
      </c>
      <c r="D296" s="1" t="s">
        <v>81</v>
      </c>
      <c r="E296" s="2">
        <v>0</v>
      </c>
      <c r="F296" s="1"/>
      <c r="G296" s="1"/>
      <c r="H296" s="2">
        <v>0</v>
      </c>
      <c r="I296" s="2">
        <v>0</v>
      </c>
      <c r="J296" s="1"/>
      <c r="K296" s="1" t="s">
        <v>28</v>
      </c>
      <c r="L296" s="1" t="s">
        <v>51</v>
      </c>
      <c r="M296" s="1" t="s">
        <v>159</v>
      </c>
      <c r="N296" s="1" t="s">
        <v>160</v>
      </c>
      <c r="O296" s="1" t="s">
        <v>28</v>
      </c>
      <c r="P296" s="1" t="s">
        <v>45</v>
      </c>
      <c r="Q296" s="1" t="s">
        <v>28</v>
      </c>
      <c r="R296" s="1" t="s">
        <v>459</v>
      </c>
      <c r="S296" s="1" t="s">
        <v>71</v>
      </c>
      <c r="T296" s="3" t="str">
        <f>Sheet4!H296</f>
        <v xml:space="preserve"> View Map </v>
      </c>
    </row>
    <row r="297" spans="1:20" ht="15" x14ac:dyDescent="0.25">
      <c r="A297" s="1" t="s">
        <v>1326</v>
      </c>
      <c r="B297" s="1" t="s">
        <v>1327</v>
      </c>
      <c r="C297" s="2">
        <v>2005</v>
      </c>
      <c r="D297" s="1" t="s">
        <v>24</v>
      </c>
      <c r="E297" s="2">
        <v>1</v>
      </c>
      <c r="F297" s="1" t="s">
        <v>1328</v>
      </c>
      <c r="G297" s="1"/>
      <c r="H297" s="2">
        <v>4670</v>
      </c>
      <c r="I297" s="2">
        <v>41000</v>
      </c>
      <c r="J297" s="1" t="s">
        <v>1329</v>
      </c>
      <c r="K297" s="2">
        <v>41000</v>
      </c>
      <c r="L297" s="1" t="s">
        <v>29</v>
      </c>
      <c r="M297" s="1" t="s">
        <v>30</v>
      </c>
      <c r="N297" s="1" t="s">
        <v>20</v>
      </c>
      <c r="O297" s="1" t="s">
        <v>173</v>
      </c>
      <c r="P297" s="1" t="s">
        <v>20</v>
      </c>
      <c r="Q297" s="1" t="s">
        <v>179</v>
      </c>
      <c r="R297" s="1" t="s">
        <v>174</v>
      </c>
      <c r="S297" s="1" t="s">
        <v>32</v>
      </c>
      <c r="T297" s="3" t="str">
        <f>Sheet4!H297</f>
        <v xml:space="preserve"> View Map </v>
      </c>
    </row>
    <row r="298" spans="1:20" ht="15" x14ac:dyDescent="0.25">
      <c r="A298" s="1" t="s">
        <v>1330</v>
      </c>
      <c r="B298" s="1" t="s">
        <v>1331</v>
      </c>
      <c r="C298" s="2">
        <v>2005</v>
      </c>
      <c r="D298" s="1" t="s">
        <v>24</v>
      </c>
      <c r="E298" s="2">
        <v>0</v>
      </c>
      <c r="F298" s="1" t="s">
        <v>1332</v>
      </c>
      <c r="G298" s="1" t="s">
        <v>1333</v>
      </c>
      <c r="H298" s="2">
        <v>0</v>
      </c>
      <c r="I298" s="2">
        <v>40000</v>
      </c>
      <c r="J298" s="1" t="s">
        <v>1334</v>
      </c>
      <c r="K298" s="2">
        <v>25000</v>
      </c>
      <c r="L298" s="1" t="s">
        <v>51</v>
      </c>
      <c r="M298" s="1" t="s">
        <v>159</v>
      </c>
      <c r="N298" s="1" t="s">
        <v>160</v>
      </c>
      <c r="O298" s="1" t="s">
        <v>656</v>
      </c>
      <c r="P298" s="1" t="s">
        <v>153</v>
      </c>
      <c r="Q298" s="1" t="s">
        <v>184</v>
      </c>
      <c r="R298" s="1" t="s">
        <v>370</v>
      </c>
      <c r="S298" s="1" t="s">
        <v>32</v>
      </c>
      <c r="T298" s="3" t="str">
        <f>Sheet4!H298</f>
        <v xml:space="preserve"> View Map </v>
      </c>
    </row>
    <row r="299" spans="1:20" ht="15" x14ac:dyDescent="0.25">
      <c r="A299" s="1" t="s">
        <v>1335</v>
      </c>
      <c r="B299" s="1" t="s">
        <v>1336</v>
      </c>
      <c r="C299" s="2">
        <v>2021</v>
      </c>
      <c r="D299" s="1" t="s">
        <v>24</v>
      </c>
      <c r="E299" s="2">
        <v>0</v>
      </c>
      <c r="F299" s="1"/>
      <c r="G299" s="1"/>
      <c r="H299" s="2">
        <v>0</v>
      </c>
      <c r="I299" s="2">
        <v>0</v>
      </c>
      <c r="J299" s="1" t="s">
        <v>458</v>
      </c>
      <c r="K299" s="1" t="s">
        <v>28</v>
      </c>
      <c r="L299" s="1" t="s">
        <v>51</v>
      </c>
      <c r="M299" s="1" t="s">
        <v>159</v>
      </c>
      <c r="N299" s="1" t="s">
        <v>160</v>
      </c>
      <c r="O299" s="1" t="s">
        <v>187</v>
      </c>
      <c r="P299" s="1" t="s">
        <v>153</v>
      </c>
      <c r="Q299" s="1" t="s">
        <v>184</v>
      </c>
      <c r="R299" s="1" t="s">
        <v>188</v>
      </c>
      <c r="S299" s="1" t="s">
        <v>32</v>
      </c>
      <c r="T299" s="3" t="str">
        <f>Sheet4!H299</f>
        <v xml:space="preserve"> View Map </v>
      </c>
    </row>
    <row r="300" spans="1:20" ht="15" x14ac:dyDescent="0.25">
      <c r="A300" s="1" t="s">
        <v>1337</v>
      </c>
      <c r="B300" s="1" t="s">
        <v>1338</v>
      </c>
      <c r="C300" s="2">
        <v>2025</v>
      </c>
      <c r="D300" s="1" t="s">
        <v>24</v>
      </c>
      <c r="E300" s="2">
        <v>1</v>
      </c>
      <c r="F300" s="1" t="s">
        <v>1339</v>
      </c>
      <c r="G300" s="1" t="s">
        <v>1339</v>
      </c>
      <c r="H300" s="2">
        <v>1723</v>
      </c>
      <c r="I300" s="2">
        <v>56000</v>
      </c>
      <c r="J300" s="1" t="s">
        <v>1340</v>
      </c>
      <c r="K300" s="2">
        <v>56000</v>
      </c>
      <c r="L300" s="1" t="s">
        <v>68</v>
      </c>
      <c r="M300" s="1" t="s">
        <v>69</v>
      </c>
      <c r="N300" s="1" t="s">
        <v>162</v>
      </c>
      <c r="O300" s="1" t="s">
        <v>560</v>
      </c>
      <c r="P300" s="1" t="s">
        <v>162</v>
      </c>
      <c r="Q300" s="1" t="s">
        <v>516</v>
      </c>
      <c r="R300" s="1" t="s">
        <v>516</v>
      </c>
      <c r="S300" s="1" t="s">
        <v>71</v>
      </c>
      <c r="T300" s="3" t="str">
        <f>Sheet4!H300</f>
        <v xml:space="preserve"> View Map </v>
      </c>
    </row>
    <row r="301" spans="1:20" ht="15" x14ac:dyDescent="0.25">
      <c r="A301" s="1" t="s">
        <v>1341</v>
      </c>
      <c r="B301" s="1" t="s">
        <v>819</v>
      </c>
      <c r="C301" s="2">
        <v>2021</v>
      </c>
      <c r="D301" s="1" t="s">
        <v>24</v>
      </c>
      <c r="E301" s="2">
        <v>1</v>
      </c>
      <c r="F301" s="1" t="s">
        <v>819</v>
      </c>
      <c r="G301" s="1"/>
      <c r="H301" s="2">
        <v>5200</v>
      </c>
      <c r="I301" s="2">
        <v>110000</v>
      </c>
      <c r="J301" s="1" t="s">
        <v>1342</v>
      </c>
      <c r="K301" s="2">
        <v>60000</v>
      </c>
      <c r="L301" s="1" t="s">
        <v>29</v>
      </c>
      <c r="M301" s="1" t="s">
        <v>30</v>
      </c>
      <c r="N301" s="1" t="s">
        <v>20</v>
      </c>
      <c r="O301" s="1" t="s">
        <v>173</v>
      </c>
      <c r="P301" s="1" t="s">
        <v>20</v>
      </c>
      <c r="Q301" s="1" t="s">
        <v>179</v>
      </c>
      <c r="R301" s="1" t="s">
        <v>738</v>
      </c>
      <c r="S301" s="1" t="s">
        <v>32</v>
      </c>
      <c r="T301" s="3" t="str">
        <f>Sheet4!H301</f>
        <v xml:space="preserve"> View Map </v>
      </c>
    </row>
    <row r="302" spans="1:20" ht="15" x14ac:dyDescent="0.25">
      <c r="A302" s="1" t="s">
        <v>1343</v>
      </c>
      <c r="B302" s="1" t="s">
        <v>1344</v>
      </c>
      <c r="C302" s="2">
        <v>0</v>
      </c>
      <c r="D302" s="1" t="s">
        <v>24</v>
      </c>
      <c r="E302" s="2">
        <v>1</v>
      </c>
      <c r="F302" s="1" t="s">
        <v>1345</v>
      </c>
      <c r="G302" s="1"/>
      <c r="H302" s="2">
        <v>795</v>
      </c>
      <c r="I302" s="2">
        <v>50000</v>
      </c>
      <c r="J302" s="1" t="s">
        <v>1298</v>
      </c>
      <c r="K302" s="2">
        <v>43000</v>
      </c>
      <c r="L302" s="1" t="s">
        <v>51</v>
      </c>
      <c r="M302" s="1" t="s">
        <v>159</v>
      </c>
      <c r="N302" s="1" t="s">
        <v>160</v>
      </c>
      <c r="O302" s="1" t="s">
        <v>944</v>
      </c>
      <c r="P302" s="1" t="s">
        <v>153</v>
      </c>
      <c r="Q302" s="1" t="s">
        <v>193</v>
      </c>
      <c r="R302" s="1" t="s">
        <v>200</v>
      </c>
      <c r="S302" s="1" t="s">
        <v>32</v>
      </c>
      <c r="T302" s="3" t="str">
        <f>Sheet4!H302</f>
        <v xml:space="preserve"> View Map </v>
      </c>
    </row>
    <row r="303" spans="1:20" ht="15" x14ac:dyDescent="0.25">
      <c r="A303" s="1" t="s">
        <v>1346</v>
      </c>
      <c r="B303" s="1" t="s">
        <v>1347</v>
      </c>
      <c r="C303" s="2">
        <v>0</v>
      </c>
      <c r="D303" s="1" t="s">
        <v>24</v>
      </c>
      <c r="E303" s="2">
        <v>1</v>
      </c>
      <c r="F303" s="1" t="s">
        <v>1348</v>
      </c>
      <c r="G303" s="1"/>
      <c r="H303" s="2">
        <v>0</v>
      </c>
      <c r="I303" s="2">
        <v>46000</v>
      </c>
      <c r="J303" s="1" t="s">
        <v>1349</v>
      </c>
      <c r="K303" s="2">
        <v>46000</v>
      </c>
      <c r="L303" s="1" t="s">
        <v>51</v>
      </c>
      <c r="M303" s="1" t="s">
        <v>52</v>
      </c>
      <c r="N303" s="1" t="s">
        <v>20</v>
      </c>
      <c r="O303" s="1" t="s">
        <v>43</v>
      </c>
      <c r="P303" s="1" t="s">
        <v>20</v>
      </c>
      <c r="Q303" s="1" t="s">
        <v>21</v>
      </c>
      <c r="R303" s="1" t="s">
        <v>262</v>
      </c>
      <c r="S303" s="1" t="s">
        <v>32</v>
      </c>
      <c r="T303" s="3" t="str">
        <f>Sheet4!H303</f>
        <v xml:space="preserve"> View Map </v>
      </c>
    </row>
    <row r="304" spans="1:20" ht="15" x14ac:dyDescent="0.25">
      <c r="A304" s="1" t="s">
        <v>1350</v>
      </c>
      <c r="B304" s="1" t="s">
        <v>1351</v>
      </c>
      <c r="C304" s="2">
        <v>0</v>
      </c>
      <c r="D304" s="1" t="s">
        <v>24</v>
      </c>
      <c r="E304" s="2">
        <v>1</v>
      </c>
      <c r="F304" s="1" t="s">
        <v>1352</v>
      </c>
      <c r="G304" s="1" t="s">
        <v>1353</v>
      </c>
      <c r="H304" s="2">
        <v>3248</v>
      </c>
      <c r="I304" s="2">
        <v>50000</v>
      </c>
      <c r="J304" s="1" t="s">
        <v>1354</v>
      </c>
      <c r="K304" s="2">
        <v>47000</v>
      </c>
      <c r="L304" s="1" t="s">
        <v>51</v>
      </c>
      <c r="M304" s="1" t="s">
        <v>159</v>
      </c>
      <c r="N304" s="1" t="s">
        <v>160</v>
      </c>
      <c r="O304" s="1" t="s">
        <v>944</v>
      </c>
      <c r="P304" s="1" t="s">
        <v>153</v>
      </c>
      <c r="Q304" s="1" t="s">
        <v>193</v>
      </c>
      <c r="R304" s="1" t="s">
        <v>200</v>
      </c>
      <c r="S304" s="1" t="s">
        <v>32</v>
      </c>
      <c r="T304" s="3" t="str">
        <f>Sheet4!H304</f>
        <v xml:space="preserve"> View Map </v>
      </c>
    </row>
    <row r="305" spans="1:20" ht="15" x14ac:dyDescent="0.25">
      <c r="A305" s="1" t="s">
        <v>1355</v>
      </c>
      <c r="B305" s="1" t="s">
        <v>1356</v>
      </c>
      <c r="C305" s="2">
        <v>2022</v>
      </c>
      <c r="D305" s="1" t="s">
        <v>24</v>
      </c>
      <c r="E305" s="2">
        <v>1</v>
      </c>
      <c r="F305" s="1" t="s">
        <v>1357</v>
      </c>
      <c r="G305" s="1"/>
      <c r="H305" s="2">
        <v>0</v>
      </c>
      <c r="I305" s="2">
        <v>12000</v>
      </c>
      <c r="J305" s="1" t="s">
        <v>1358</v>
      </c>
      <c r="K305" s="2">
        <v>42000</v>
      </c>
      <c r="L305" s="1" t="s">
        <v>68</v>
      </c>
      <c r="M305" s="1" t="s">
        <v>69</v>
      </c>
      <c r="N305" s="1" t="s">
        <v>162</v>
      </c>
      <c r="O305" s="1" t="s">
        <v>374</v>
      </c>
      <c r="P305" s="1" t="s">
        <v>162</v>
      </c>
      <c r="Q305" s="1" t="s">
        <v>162</v>
      </c>
      <c r="R305" s="1" t="s">
        <v>162</v>
      </c>
      <c r="S305" s="1" t="s">
        <v>32</v>
      </c>
      <c r="T305" s="3" t="str">
        <f>Sheet4!H305</f>
        <v xml:space="preserve"> View Map </v>
      </c>
    </row>
    <row r="306" spans="1:20" ht="15" x14ac:dyDescent="0.25">
      <c r="A306" s="1" t="s">
        <v>1359</v>
      </c>
      <c r="B306" s="1" t="s">
        <v>1360</v>
      </c>
      <c r="C306" s="2">
        <v>0</v>
      </c>
      <c r="D306" s="1" t="s">
        <v>24</v>
      </c>
      <c r="E306" s="2">
        <v>1</v>
      </c>
      <c r="F306" s="1" t="s">
        <v>723</v>
      </c>
      <c r="G306" s="1"/>
      <c r="H306" s="2">
        <v>0</v>
      </c>
      <c r="I306" s="2">
        <v>128000</v>
      </c>
      <c r="J306" s="1" t="s">
        <v>1361</v>
      </c>
      <c r="K306" s="2">
        <v>128000</v>
      </c>
      <c r="L306" s="1" t="s">
        <v>51</v>
      </c>
      <c r="M306" s="1" t="s">
        <v>52</v>
      </c>
      <c r="N306" s="1" t="s">
        <v>53</v>
      </c>
      <c r="O306" s="1" t="s">
        <v>84</v>
      </c>
      <c r="P306" s="1" t="s">
        <v>45</v>
      </c>
      <c r="Q306" s="1" t="s">
        <v>45</v>
      </c>
      <c r="R306" s="1" t="s">
        <v>85</v>
      </c>
      <c r="S306" s="1" t="s">
        <v>32</v>
      </c>
      <c r="T306" s="3" t="str">
        <f>Sheet4!H306</f>
        <v xml:space="preserve"> View Map </v>
      </c>
    </row>
    <row r="307" spans="1:20" ht="15" x14ac:dyDescent="0.25">
      <c r="A307" s="1" t="s">
        <v>1362</v>
      </c>
      <c r="B307" s="1" t="s">
        <v>1363</v>
      </c>
      <c r="C307" s="2">
        <v>2005</v>
      </c>
      <c r="D307" s="1" t="s">
        <v>24</v>
      </c>
      <c r="E307" s="2">
        <v>0</v>
      </c>
      <c r="F307" s="1"/>
      <c r="G307" s="1" t="s">
        <v>1364</v>
      </c>
      <c r="H307" s="2">
        <v>2700</v>
      </c>
      <c r="I307" s="2">
        <v>0</v>
      </c>
      <c r="J307" s="1" t="s">
        <v>1365</v>
      </c>
      <c r="K307" s="1" t="s">
        <v>28</v>
      </c>
      <c r="L307" s="1" t="s">
        <v>51</v>
      </c>
      <c r="M307" s="1" t="s">
        <v>52</v>
      </c>
      <c r="N307" s="1" t="s">
        <v>53</v>
      </c>
      <c r="O307" s="1" t="s">
        <v>110</v>
      </c>
      <c r="P307" s="1" t="s">
        <v>45</v>
      </c>
      <c r="Q307" s="1" t="s">
        <v>53</v>
      </c>
      <c r="R307" s="1" t="s">
        <v>85</v>
      </c>
      <c r="S307" s="1" t="s">
        <v>71</v>
      </c>
      <c r="T307" s="3" t="str">
        <f>Sheet4!H307</f>
        <v xml:space="preserve"> View Map </v>
      </c>
    </row>
    <row r="308" spans="1:20" ht="15" x14ac:dyDescent="0.25">
      <c r="A308" s="1" t="s">
        <v>1366</v>
      </c>
      <c r="B308" s="1" t="s">
        <v>1367</v>
      </c>
      <c r="C308" s="2">
        <v>2021</v>
      </c>
      <c r="D308" s="1" t="s">
        <v>24</v>
      </c>
      <c r="E308" s="2">
        <v>1</v>
      </c>
      <c r="F308" s="1" t="s">
        <v>1368</v>
      </c>
      <c r="G308" s="1"/>
      <c r="H308" s="2">
        <v>0</v>
      </c>
      <c r="I308" s="2">
        <v>41000</v>
      </c>
      <c r="J308" s="1" t="s">
        <v>1369</v>
      </c>
      <c r="K308" s="2">
        <v>41000</v>
      </c>
      <c r="L308" s="1" t="s">
        <v>51</v>
      </c>
      <c r="M308" s="1" t="s">
        <v>52</v>
      </c>
      <c r="N308" s="1" t="s">
        <v>53</v>
      </c>
      <c r="O308" s="1" t="s">
        <v>110</v>
      </c>
      <c r="P308" s="1" t="s">
        <v>45</v>
      </c>
      <c r="Q308" s="1" t="s">
        <v>53</v>
      </c>
      <c r="R308" s="1" t="s">
        <v>85</v>
      </c>
      <c r="S308" s="1" t="s">
        <v>56</v>
      </c>
      <c r="T308" s="3" t="str">
        <f>Sheet4!H308</f>
        <v xml:space="preserve"> View Map </v>
      </c>
    </row>
    <row r="309" spans="1:20" ht="15" x14ac:dyDescent="0.25">
      <c r="A309" s="1" t="s">
        <v>1370</v>
      </c>
      <c r="B309" s="1" t="s">
        <v>1371</v>
      </c>
      <c r="C309" s="2">
        <v>2005</v>
      </c>
      <c r="D309" s="1" t="s">
        <v>24</v>
      </c>
      <c r="E309" s="2">
        <v>0</v>
      </c>
      <c r="F309" s="1"/>
      <c r="G309" s="1"/>
      <c r="H309" s="2">
        <v>0</v>
      </c>
      <c r="I309" s="2">
        <v>0</v>
      </c>
      <c r="J309" s="1"/>
      <c r="K309" s="1" t="s">
        <v>28</v>
      </c>
      <c r="L309" s="1" t="s">
        <v>68</v>
      </c>
      <c r="M309" s="1" t="s">
        <v>69</v>
      </c>
      <c r="N309" s="1" t="s">
        <v>162</v>
      </c>
      <c r="O309" s="1" t="s">
        <v>770</v>
      </c>
      <c r="P309" s="1" t="s">
        <v>162</v>
      </c>
      <c r="Q309" s="1" t="s">
        <v>162</v>
      </c>
      <c r="R309" s="1" t="s">
        <v>162</v>
      </c>
      <c r="S309" s="1" t="s">
        <v>32</v>
      </c>
      <c r="T309" s="3" t="str">
        <f>Sheet4!H309</f>
        <v xml:space="preserve"> View Map </v>
      </c>
    </row>
    <row r="310" spans="1:20" ht="15" x14ac:dyDescent="0.25">
      <c r="A310" s="1" t="s">
        <v>1372</v>
      </c>
      <c r="B310" s="1" t="s">
        <v>1373</v>
      </c>
      <c r="C310" s="2">
        <v>2005</v>
      </c>
      <c r="D310" s="1" t="s">
        <v>24</v>
      </c>
      <c r="E310" s="2">
        <v>0</v>
      </c>
      <c r="F310" s="1"/>
      <c r="G310" s="1"/>
      <c r="H310" s="2">
        <v>0</v>
      </c>
      <c r="I310" s="2">
        <v>0</v>
      </c>
      <c r="J310" s="1" t="s">
        <v>1374</v>
      </c>
      <c r="K310" s="1" t="s">
        <v>28</v>
      </c>
      <c r="L310" s="1" t="s">
        <v>51</v>
      </c>
      <c r="M310" s="1" t="s">
        <v>52</v>
      </c>
      <c r="N310" s="1" t="s">
        <v>53</v>
      </c>
      <c r="O310" s="1" t="s">
        <v>440</v>
      </c>
      <c r="P310" s="1" t="s">
        <v>45</v>
      </c>
      <c r="Q310" s="1" t="s">
        <v>146</v>
      </c>
      <c r="R310" s="1" t="s">
        <v>443</v>
      </c>
      <c r="S310" s="1" t="s">
        <v>71</v>
      </c>
      <c r="T310" s="3" t="str">
        <f>Sheet4!H310</f>
        <v xml:space="preserve"> View Map </v>
      </c>
    </row>
    <row r="311" spans="1:20" ht="15" x14ac:dyDescent="0.25">
      <c r="A311" s="1" t="s">
        <v>1375</v>
      </c>
      <c r="B311" s="1" t="s">
        <v>1376</v>
      </c>
      <c r="C311" s="2">
        <v>0</v>
      </c>
      <c r="D311" s="1" t="s">
        <v>24</v>
      </c>
      <c r="E311" s="2">
        <v>0</v>
      </c>
      <c r="F311" s="1" t="s">
        <v>723</v>
      </c>
      <c r="G311" s="1"/>
      <c r="H311" s="2">
        <v>4000</v>
      </c>
      <c r="I311" s="2">
        <v>39000</v>
      </c>
      <c r="J311" s="1" t="s">
        <v>1377</v>
      </c>
      <c r="K311" s="2">
        <v>39000</v>
      </c>
      <c r="L311" s="1" t="s">
        <v>51</v>
      </c>
      <c r="M311" s="1" t="s">
        <v>52</v>
      </c>
      <c r="N311" s="1" t="s">
        <v>53</v>
      </c>
      <c r="O311" s="1" t="s">
        <v>84</v>
      </c>
      <c r="P311" s="1" t="s">
        <v>45</v>
      </c>
      <c r="Q311" s="1" t="s">
        <v>45</v>
      </c>
      <c r="R311" s="1" t="s">
        <v>85</v>
      </c>
      <c r="S311" s="1" t="s">
        <v>32</v>
      </c>
      <c r="T311" s="3" t="str">
        <f>Sheet4!H311</f>
        <v xml:space="preserve"> View Map </v>
      </c>
    </row>
    <row r="312" spans="1:20" ht="15" x14ac:dyDescent="0.25">
      <c r="A312" s="1" t="s">
        <v>1378</v>
      </c>
      <c r="B312" s="1" t="s">
        <v>1379</v>
      </c>
      <c r="C312" s="2">
        <v>0</v>
      </c>
      <c r="D312" s="1" t="s">
        <v>24</v>
      </c>
      <c r="E312" s="2">
        <v>1</v>
      </c>
      <c r="F312" s="1" t="s">
        <v>1380</v>
      </c>
      <c r="G312" s="1" t="s">
        <v>1381</v>
      </c>
      <c r="H312" s="2">
        <v>300</v>
      </c>
      <c r="I312" s="2">
        <v>53000</v>
      </c>
      <c r="J312" s="1" t="s">
        <v>1382</v>
      </c>
      <c r="K312" s="2">
        <v>53000</v>
      </c>
      <c r="L312" s="1" t="s">
        <v>51</v>
      </c>
      <c r="M312" s="1" t="s">
        <v>52</v>
      </c>
      <c r="N312" s="1" t="s">
        <v>53</v>
      </c>
      <c r="O312" s="1" t="s">
        <v>62</v>
      </c>
      <c r="P312" s="1" t="s">
        <v>45</v>
      </c>
      <c r="Q312" s="1" t="s">
        <v>46</v>
      </c>
      <c r="R312" s="1" t="s">
        <v>55</v>
      </c>
      <c r="S312" s="1" t="s">
        <v>32</v>
      </c>
      <c r="T312" s="3" t="str">
        <f>Sheet4!H312</f>
        <v xml:space="preserve"> View Map </v>
      </c>
    </row>
    <row r="313" spans="1:20" ht="15" x14ac:dyDescent="0.25">
      <c r="A313" s="1" t="s">
        <v>1383</v>
      </c>
      <c r="B313" s="1" t="s">
        <v>1384</v>
      </c>
      <c r="C313" s="2">
        <v>2021</v>
      </c>
      <c r="D313" s="1" t="s">
        <v>24</v>
      </c>
      <c r="E313" s="2">
        <v>1</v>
      </c>
      <c r="F313" s="1" t="s">
        <v>1385</v>
      </c>
      <c r="G313" s="1" t="s">
        <v>1386</v>
      </c>
      <c r="H313" s="2">
        <v>4400</v>
      </c>
      <c r="I313" s="2">
        <v>39000</v>
      </c>
      <c r="J313" s="1" t="s">
        <v>1387</v>
      </c>
      <c r="K313" s="2">
        <v>39000</v>
      </c>
      <c r="L313" s="1" t="s">
        <v>29</v>
      </c>
      <c r="M313" s="1" t="s">
        <v>30</v>
      </c>
      <c r="N313" s="1" t="s">
        <v>20</v>
      </c>
      <c r="O313" s="1" t="s">
        <v>31</v>
      </c>
      <c r="P313" s="1" t="s">
        <v>20</v>
      </c>
      <c r="Q313" s="1" t="s">
        <v>33</v>
      </c>
      <c r="R313" s="1" t="s">
        <v>90</v>
      </c>
      <c r="S313" s="1" t="s">
        <v>32</v>
      </c>
      <c r="T313" s="3" t="str">
        <f>Sheet4!H313</f>
        <v xml:space="preserve"> View Map </v>
      </c>
    </row>
    <row r="314" spans="1:20" ht="15" x14ac:dyDescent="0.25">
      <c r="A314" s="1" t="s">
        <v>1388</v>
      </c>
      <c r="B314" s="1" t="s">
        <v>1389</v>
      </c>
      <c r="C314" s="2">
        <v>2024</v>
      </c>
      <c r="D314" s="1" t="s">
        <v>24</v>
      </c>
      <c r="E314" s="2">
        <v>1</v>
      </c>
      <c r="F314" s="1" t="s">
        <v>1390</v>
      </c>
      <c r="G314" s="1" t="s">
        <v>1391</v>
      </c>
      <c r="H314" s="2">
        <v>4050</v>
      </c>
      <c r="I314" s="2">
        <v>38000</v>
      </c>
      <c r="J314" s="1" t="s">
        <v>1392</v>
      </c>
      <c r="K314" s="2">
        <v>38000</v>
      </c>
      <c r="L314" s="1" t="s">
        <v>51</v>
      </c>
      <c r="M314" s="1" t="s">
        <v>52</v>
      </c>
      <c r="N314" s="1" t="s">
        <v>20</v>
      </c>
      <c r="O314" s="1" t="s">
        <v>43</v>
      </c>
      <c r="P314" s="1" t="s">
        <v>20</v>
      </c>
      <c r="Q314" s="1" t="s">
        <v>21</v>
      </c>
      <c r="R314" s="1" t="s">
        <v>262</v>
      </c>
      <c r="S314" s="1" t="s">
        <v>71</v>
      </c>
      <c r="T314" s="3" t="str">
        <f>Sheet4!H314</f>
        <v xml:space="preserve"> View Map </v>
      </c>
    </row>
    <row r="315" spans="1:20" ht="15" x14ac:dyDescent="0.25">
      <c r="A315" s="1" t="s">
        <v>1393</v>
      </c>
      <c r="B315" s="1" t="s">
        <v>1394</v>
      </c>
      <c r="C315" s="2">
        <v>2017</v>
      </c>
      <c r="D315" s="1" t="s">
        <v>24</v>
      </c>
      <c r="E315" s="2">
        <v>0</v>
      </c>
      <c r="F315" s="1" t="s">
        <v>1394</v>
      </c>
      <c r="G315" s="1" t="s">
        <v>1395</v>
      </c>
      <c r="H315" s="2">
        <v>5150</v>
      </c>
      <c r="I315" s="2">
        <v>49500</v>
      </c>
      <c r="J315" s="1" t="s">
        <v>1396</v>
      </c>
      <c r="K315" s="2">
        <v>49500</v>
      </c>
      <c r="L315" s="1" t="s">
        <v>29</v>
      </c>
      <c r="M315" s="1" t="s">
        <v>134</v>
      </c>
      <c r="N315" s="1" t="s">
        <v>20</v>
      </c>
      <c r="O315" s="1" t="s">
        <v>135</v>
      </c>
      <c r="P315" s="1" t="s">
        <v>20</v>
      </c>
      <c r="Q315" s="1" t="s">
        <v>129</v>
      </c>
      <c r="R315" s="1" t="s">
        <v>419</v>
      </c>
      <c r="S315" s="1" t="s">
        <v>32</v>
      </c>
      <c r="T315" s="3" t="str">
        <f>Sheet4!H315</f>
        <v xml:space="preserve"> View Map </v>
      </c>
    </row>
    <row r="316" spans="1:20" ht="15" x14ac:dyDescent="0.25">
      <c r="A316" s="1" t="s">
        <v>1397</v>
      </c>
      <c r="B316" s="1" t="s">
        <v>1398</v>
      </c>
      <c r="C316" s="2">
        <v>2021</v>
      </c>
      <c r="D316" s="1" t="s">
        <v>24</v>
      </c>
      <c r="E316" s="2">
        <v>1</v>
      </c>
      <c r="F316" s="1" t="s">
        <v>1399</v>
      </c>
      <c r="G316" s="1"/>
      <c r="H316" s="2">
        <v>0</v>
      </c>
      <c r="I316" s="2">
        <v>39000</v>
      </c>
      <c r="J316" s="1" t="s">
        <v>1400</v>
      </c>
      <c r="K316" s="1" t="s">
        <v>28</v>
      </c>
      <c r="L316" s="1" t="s">
        <v>68</v>
      </c>
      <c r="M316" s="1" t="s">
        <v>69</v>
      </c>
      <c r="N316" s="1" t="s">
        <v>162</v>
      </c>
      <c r="O316" s="1" t="s">
        <v>360</v>
      </c>
      <c r="P316" s="1" t="s">
        <v>162</v>
      </c>
      <c r="Q316" s="1" t="s">
        <v>355</v>
      </c>
      <c r="R316" s="1" t="s">
        <v>561</v>
      </c>
      <c r="S316" s="1" t="s">
        <v>32</v>
      </c>
      <c r="T316" s="3" t="str">
        <f>Sheet4!H316</f>
        <v xml:space="preserve"> View Map </v>
      </c>
    </row>
    <row r="317" spans="1:20" ht="15" x14ac:dyDescent="0.25">
      <c r="A317" s="1" t="s">
        <v>1401</v>
      </c>
      <c r="B317" s="1" t="s">
        <v>1402</v>
      </c>
      <c r="C317" s="2">
        <v>2021</v>
      </c>
      <c r="D317" s="1" t="s">
        <v>24</v>
      </c>
      <c r="E317" s="2">
        <v>0</v>
      </c>
      <c r="F317" s="1" t="s">
        <v>1403</v>
      </c>
      <c r="G317" s="1"/>
      <c r="H317" s="2">
        <v>0</v>
      </c>
      <c r="I317" s="2">
        <v>0</v>
      </c>
      <c r="J317" s="1" t="s">
        <v>1404</v>
      </c>
      <c r="K317" s="1" t="s">
        <v>28</v>
      </c>
      <c r="L317" s="1" t="s">
        <v>51</v>
      </c>
      <c r="M317" s="1" t="s">
        <v>52</v>
      </c>
      <c r="N317" s="1" t="s">
        <v>53</v>
      </c>
      <c r="O317" s="1" t="s">
        <v>440</v>
      </c>
      <c r="P317" s="1" t="s">
        <v>45</v>
      </c>
      <c r="Q317" s="1" t="s">
        <v>146</v>
      </c>
      <c r="R317" s="1" t="s">
        <v>443</v>
      </c>
      <c r="S317" s="1" t="s">
        <v>32</v>
      </c>
      <c r="T317" s="3" t="str">
        <f>Sheet4!H317</f>
        <v xml:space="preserve"> View Map </v>
      </c>
    </row>
    <row r="318" spans="1:20" ht="15" x14ac:dyDescent="0.25">
      <c r="A318" s="1" t="s">
        <v>1405</v>
      </c>
      <c r="B318" s="1" t="s">
        <v>1406</v>
      </c>
      <c r="C318" s="2">
        <v>1947</v>
      </c>
      <c r="D318" s="1" t="s">
        <v>24</v>
      </c>
      <c r="E318" s="2">
        <v>1</v>
      </c>
      <c r="F318" s="1" t="s">
        <v>1407</v>
      </c>
      <c r="G318" s="1" t="s">
        <v>1408</v>
      </c>
      <c r="H318" s="2">
        <v>609</v>
      </c>
      <c r="I318" s="2">
        <v>150000</v>
      </c>
      <c r="J318" s="1" t="s">
        <v>1409</v>
      </c>
      <c r="K318" s="2">
        <v>150000</v>
      </c>
      <c r="L318" s="1" t="s">
        <v>51</v>
      </c>
      <c r="M318" s="1" t="s">
        <v>52</v>
      </c>
      <c r="N318" s="1" t="s">
        <v>53</v>
      </c>
      <c r="O318" s="1" t="s">
        <v>84</v>
      </c>
      <c r="P318" s="1" t="s">
        <v>45</v>
      </c>
      <c r="Q318" s="1" t="s">
        <v>45</v>
      </c>
      <c r="R318" s="1" t="s">
        <v>55</v>
      </c>
      <c r="S318" s="1" t="s">
        <v>71</v>
      </c>
      <c r="T318" s="3" t="str">
        <f>Sheet4!H318</f>
        <v xml:space="preserve"> View Map </v>
      </c>
    </row>
    <row r="319" spans="1:20" ht="15" x14ac:dyDescent="0.25">
      <c r="A319" s="1" t="s">
        <v>1410</v>
      </c>
      <c r="B319" s="1" t="s">
        <v>1411</v>
      </c>
      <c r="C319" s="2">
        <v>2005</v>
      </c>
      <c r="D319" s="1" t="s">
        <v>24</v>
      </c>
      <c r="E319" s="2">
        <v>1</v>
      </c>
      <c r="F319" s="1" t="s">
        <v>1412</v>
      </c>
      <c r="G319" s="1"/>
      <c r="H319" s="2">
        <v>0</v>
      </c>
      <c r="I319" s="2">
        <v>20000</v>
      </c>
      <c r="J319" s="1" t="s">
        <v>1413</v>
      </c>
      <c r="K319" s="2">
        <v>20000</v>
      </c>
      <c r="L319" s="1" t="s">
        <v>29</v>
      </c>
      <c r="M319" s="1" t="s">
        <v>30</v>
      </c>
      <c r="N319" s="1" t="s">
        <v>20</v>
      </c>
      <c r="O319" s="1" t="s">
        <v>173</v>
      </c>
      <c r="P319" s="1" t="s">
        <v>20</v>
      </c>
      <c r="Q319" s="1" t="s">
        <v>179</v>
      </c>
      <c r="R319" s="1" t="s">
        <v>738</v>
      </c>
      <c r="S319" s="1" t="s">
        <v>32</v>
      </c>
      <c r="T319" s="3" t="str">
        <f>Sheet4!H319</f>
        <v xml:space="preserve"> View Map </v>
      </c>
    </row>
    <row r="320" spans="1:20" ht="15" x14ac:dyDescent="0.25">
      <c r="A320" s="1" t="s">
        <v>1414</v>
      </c>
      <c r="B320" s="1" t="s">
        <v>1415</v>
      </c>
      <c r="C320" s="2">
        <v>0</v>
      </c>
      <c r="D320" s="1" t="s">
        <v>24</v>
      </c>
      <c r="E320" s="2">
        <v>1</v>
      </c>
      <c r="F320" s="1" t="s">
        <v>41</v>
      </c>
      <c r="G320" s="1"/>
      <c r="H320" s="2">
        <v>0</v>
      </c>
      <c r="I320" s="2">
        <v>49000</v>
      </c>
      <c r="J320" s="1" t="s">
        <v>1416</v>
      </c>
      <c r="K320" s="2">
        <v>49000</v>
      </c>
      <c r="L320" s="1" t="s">
        <v>29</v>
      </c>
      <c r="M320" s="1" t="s">
        <v>30</v>
      </c>
      <c r="N320" s="1" t="s">
        <v>20</v>
      </c>
      <c r="O320" s="1" t="s">
        <v>31</v>
      </c>
      <c r="P320" s="1" t="s">
        <v>20</v>
      </c>
      <c r="Q320" s="1" t="s">
        <v>33</v>
      </c>
      <c r="R320" s="1" t="s">
        <v>738</v>
      </c>
      <c r="S320" s="1" t="s">
        <v>32</v>
      </c>
      <c r="T320" s="3" t="str">
        <f>Sheet4!H320</f>
        <v xml:space="preserve"> View Map </v>
      </c>
    </row>
    <row r="321" spans="1:20" ht="15" x14ac:dyDescent="0.25">
      <c r="A321" s="1" t="s">
        <v>1417</v>
      </c>
      <c r="B321" s="1" t="s">
        <v>1418</v>
      </c>
      <c r="C321" s="2">
        <v>2005</v>
      </c>
      <c r="D321" s="1" t="s">
        <v>24</v>
      </c>
      <c r="E321" s="2">
        <v>1</v>
      </c>
      <c r="F321" s="1" t="s">
        <v>1419</v>
      </c>
      <c r="G321" s="1"/>
      <c r="H321" s="2">
        <v>0</v>
      </c>
      <c r="I321" s="2">
        <v>60000</v>
      </c>
      <c r="J321" s="1" t="s">
        <v>1420</v>
      </c>
      <c r="K321" s="2">
        <v>49000</v>
      </c>
      <c r="L321" s="1" t="s">
        <v>68</v>
      </c>
      <c r="M321" s="1" t="s">
        <v>69</v>
      </c>
      <c r="N321" s="1" t="s">
        <v>162</v>
      </c>
      <c r="O321" s="1" t="s">
        <v>374</v>
      </c>
      <c r="P321" s="1" t="s">
        <v>162</v>
      </c>
      <c r="Q321" s="1" t="s">
        <v>162</v>
      </c>
      <c r="R321" s="1" t="s">
        <v>162</v>
      </c>
      <c r="S321" s="1" t="s">
        <v>32</v>
      </c>
      <c r="T321" s="3" t="str">
        <f>Sheet4!H321</f>
        <v xml:space="preserve"> View Map </v>
      </c>
    </row>
    <row r="322" spans="1:20" ht="15" x14ac:dyDescent="0.25">
      <c r="A322" s="1" t="s">
        <v>1421</v>
      </c>
      <c r="B322" s="1" t="s">
        <v>1422</v>
      </c>
      <c r="C322" s="2">
        <v>1940</v>
      </c>
      <c r="D322" s="1" t="s">
        <v>24</v>
      </c>
      <c r="E322" s="2">
        <v>1</v>
      </c>
      <c r="F322" s="1" t="s">
        <v>1423</v>
      </c>
      <c r="G322" s="1" t="s">
        <v>1424</v>
      </c>
      <c r="H322" s="2">
        <v>217</v>
      </c>
      <c r="I322" s="2">
        <v>27850</v>
      </c>
      <c r="J322" s="1" t="s">
        <v>1425</v>
      </c>
      <c r="K322" s="1" t="s">
        <v>28</v>
      </c>
      <c r="L322" s="1" t="s">
        <v>68</v>
      </c>
      <c r="M322" s="1" t="s">
        <v>69</v>
      </c>
      <c r="N322" s="1" t="s">
        <v>162</v>
      </c>
      <c r="O322" s="1" t="s">
        <v>1426</v>
      </c>
      <c r="P322" s="1" t="s">
        <v>304</v>
      </c>
      <c r="Q322" s="1" t="s">
        <v>432</v>
      </c>
      <c r="R322" s="1" t="s">
        <v>162</v>
      </c>
      <c r="S322" s="1" t="s">
        <v>32</v>
      </c>
      <c r="T322" s="3" t="str">
        <f>Sheet4!H322</f>
        <v xml:space="preserve"> View Map </v>
      </c>
    </row>
    <row r="323" spans="1:20" ht="15" x14ac:dyDescent="0.25">
      <c r="A323" s="1" t="s">
        <v>1427</v>
      </c>
      <c r="B323" s="1" t="s">
        <v>1428</v>
      </c>
      <c r="C323" s="2">
        <v>2021</v>
      </c>
      <c r="D323" s="1" t="s">
        <v>24</v>
      </c>
      <c r="E323" s="2">
        <v>0</v>
      </c>
      <c r="F323" s="1" t="s">
        <v>1429</v>
      </c>
      <c r="G323" s="1" t="s">
        <v>1430</v>
      </c>
      <c r="H323" s="2">
        <v>5800</v>
      </c>
      <c r="I323" s="2">
        <v>0</v>
      </c>
      <c r="J323" s="1" t="s">
        <v>1430</v>
      </c>
      <c r="K323" s="1" t="s">
        <v>28</v>
      </c>
      <c r="L323" s="1" t="s">
        <v>29</v>
      </c>
      <c r="M323" s="1" t="s">
        <v>134</v>
      </c>
      <c r="N323" s="1" t="s">
        <v>160</v>
      </c>
      <c r="O323" s="1" t="s">
        <v>1431</v>
      </c>
      <c r="P323" s="1" t="s">
        <v>153</v>
      </c>
      <c r="Q323" s="1" t="s">
        <v>154</v>
      </c>
      <c r="R323" s="1" t="s">
        <v>459</v>
      </c>
      <c r="S323" s="1" t="s">
        <v>32</v>
      </c>
      <c r="T323" s="3" t="str">
        <f>Sheet4!H323</f>
        <v xml:space="preserve"> View Map </v>
      </c>
    </row>
    <row r="324" spans="1:20" ht="15" x14ac:dyDescent="0.25">
      <c r="A324" s="1" t="s">
        <v>1432</v>
      </c>
      <c r="B324" s="1" t="s">
        <v>1433</v>
      </c>
      <c r="C324" s="2">
        <v>2005</v>
      </c>
      <c r="D324" s="1" t="s">
        <v>24</v>
      </c>
      <c r="E324" s="2">
        <v>1</v>
      </c>
      <c r="F324" s="1" t="s">
        <v>1434</v>
      </c>
      <c r="G324" s="1"/>
      <c r="H324" s="2">
        <v>0</v>
      </c>
      <c r="I324" s="2">
        <v>35500</v>
      </c>
      <c r="J324" s="1" t="s">
        <v>1435</v>
      </c>
      <c r="K324" s="2">
        <v>35500</v>
      </c>
      <c r="L324" s="1" t="s">
        <v>51</v>
      </c>
      <c r="M324" s="1" t="s">
        <v>159</v>
      </c>
      <c r="N324" s="1" t="s">
        <v>162</v>
      </c>
      <c r="O324" s="1" t="s">
        <v>560</v>
      </c>
      <c r="P324" s="1" t="s">
        <v>162</v>
      </c>
      <c r="Q324" s="1" t="s">
        <v>516</v>
      </c>
      <c r="R324" s="1" t="s">
        <v>561</v>
      </c>
      <c r="S324" s="1" t="s">
        <v>32</v>
      </c>
      <c r="T324" s="3" t="str">
        <f>Sheet4!H324</f>
        <v xml:space="preserve"> View Map </v>
      </c>
    </row>
    <row r="325" spans="1:20" ht="15" x14ac:dyDescent="0.25">
      <c r="A325" s="1" t="s">
        <v>1436</v>
      </c>
      <c r="B325" s="1" t="s">
        <v>1437</v>
      </c>
      <c r="C325" s="2">
        <v>2019</v>
      </c>
      <c r="D325" s="1" t="s">
        <v>24</v>
      </c>
      <c r="E325" s="2">
        <v>1</v>
      </c>
      <c r="F325" s="1" t="s">
        <v>1438</v>
      </c>
      <c r="G325" s="1"/>
      <c r="H325" s="2">
        <v>0</v>
      </c>
      <c r="I325" s="2">
        <v>150000</v>
      </c>
      <c r="J325" s="1" t="s">
        <v>1439</v>
      </c>
      <c r="K325" s="2">
        <v>150000</v>
      </c>
      <c r="L325" s="1" t="s">
        <v>68</v>
      </c>
      <c r="M325" s="1" t="s">
        <v>69</v>
      </c>
      <c r="N325" s="1" t="s">
        <v>162</v>
      </c>
      <c r="O325" s="1" t="s">
        <v>560</v>
      </c>
      <c r="P325" s="1" t="s">
        <v>162</v>
      </c>
      <c r="Q325" s="1" t="s">
        <v>516</v>
      </c>
      <c r="R325" s="1" t="s">
        <v>561</v>
      </c>
      <c r="S325" s="1" t="s">
        <v>71</v>
      </c>
      <c r="T325" s="3" t="str">
        <f>Sheet4!H325</f>
        <v xml:space="preserve"> View Map </v>
      </c>
    </row>
    <row r="326" spans="1:20" ht="15" x14ac:dyDescent="0.25">
      <c r="A326" s="1" t="s">
        <v>1440</v>
      </c>
      <c r="B326" s="1" t="s">
        <v>1441</v>
      </c>
      <c r="C326" s="2">
        <v>2005</v>
      </c>
      <c r="D326" s="1" t="s">
        <v>24</v>
      </c>
      <c r="E326" s="2">
        <v>1</v>
      </c>
      <c r="F326" s="1"/>
      <c r="G326" s="1"/>
      <c r="H326" s="2">
        <v>0</v>
      </c>
      <c r="I326" s="2">
        <v>59500</v>
      </c>
      <c r="J326" s="1" t="s">
        <v>1442</v>
      </c>
      <c r="K326" s="2">
        <v>59500</v>
      </c>
      <c r="L326" s="1" t="s">
        <v>68</v>
      </c>
      <c r="M326" s="1" t="s">
        <v>69</v>
      </c>
      <c r="N326" s="1" t="s">
        <v>162</v>
      </c>
      <c r="O326" s="1" t="s">
        <v>28</v>
      </c>
      <c r="P326" s="1" t="s">
        <v>162</v>
      </c>
      <c r="Q326" s="1" t="s">
        <v>516</v>
      </c>
      <c r="R326" s="1" t="s">
        <v>516</v>
      </c>
      <c r="S326" s="1" t="s">
        <v>32</v>
      </c>
      <c r="T326" s="3" t="str">
        <f>Sheet4!H326</f>
        <v xml:space="preserve"> View Map </v>
      </c>
    </row>
    <row r="327" spans="1:20" ht="15" x14ac:dyDescent="0.25">
      <c r="A327" s="1" t="s">
        <v>1443</v>
      </c>
      <c r="B327" s="1" t="s">
        <v>1444</v>
      </c>
      <c r="C327" s="2">
        <v>2005</v>
      </c>
      <c r="D327" s="1" t="s">
        <v>24</v>
      </c>
      <c r="E327" s="2">
        <v>1</v>
      </c>
      <c r="F327" s="1" t="s">
        <v>1445</v>
      </c>
      <c r="G327" s="1"/>
      <c r="H327" s="2">
        <v>0</v>
      </c>
      <c r="I327" s="2">
        <v>78000</v>
      </c>
      <c r="J327" s="1" t="s">
        <v>1446</v>
      </c>
      <c r="K327" s="2">
        <v>78000</v>
      </c>
      <c r="L327" s="1" t="s">
        <v>68</v>
      </c>
      <c r="M327" s="1" t="s">
        <v>69</v>
      </c>
      <c r="N327" s="1" t="s">
        <v>322</v>
      </c>
      <c r="O327" s="1" t="s">
        <v>783</v>
      </c>
      <c r="P327" s="1" t="s">
        <v>162</v>
      </c>
      <c r="Q327" s="1" t="s">
        <v>316</v>
      </c>
      <c r="R327" s="1" t="s">
        <v>322</v>
      </c>
      <c r="S327" s="1" t="s">
        <v>32</v>
      </c>
      <c r="T327" s="3" t="str">
        <f>Sheet4!H327</f>
        <v xml:space="preserve"> View Map </v>
      </c>
    </row>
    <row r="328" spans="1:20" ht="15" x14ac:dyDescent="0.25">
      <c r="A328" s="1" t="s">
        <v>1447</v>
      </c>
      <c r="B328" s="1" t="s">
        <v>1448</v>
      </c>
      <c r="C328" s="2">
        <v>2024</v>
      </c>
      <c r="D328" s="1" t="s">
        <v>24</v>
      </c>
      <c r="E328" s="2">
        <v>0</v>
      </c>
      <c r="F328" s="1" t="s">
        <v>1449</v>
      </c>
      <c r="G328" s="1" t="s">
        <v>1449</v>
      </c>
      <c r="H328" s="2">
        <v>91</v>
      </c>
      <c r="I328" s="2">
        <v>21000</v>
      </c>
      <c r="J328" s="1" t="s">
        <v>1450</v>
      </c>
      <c r="K328" s="2">
        <v>21000</v>
      </c>
      <c r="L328" s="1" t="s">
        <v>68</v>
      </c>
      <c r="M328" s="1" t="s">
        <v>69</v>
      </c>
      <c r="N328" s="1" t="s">
        <v>309</v>
      </c>
      <c r="O328" s="1" t="s">
        <v>310</v>
      </c>
      <c r="P328" s="1" t="s">
        <v>304</v>
      </c>
      <c r="Q328" s="1" t="s">
        <v>305</v>
      </c>
      <c r="R328" s="1" t="s">
        <v>309</v>
      </c>
      <c r="S328" s="1" t="s">
        <v>71</v>
      </c>
      <c r="T328" s="3" t="str">
        <f>Sheet4!H328</f>
        <v xml:space="preserve"> View Map </v>
      </c>
    </row>
    <row r="329" spans="1:20" ht="15" x14ac:dyDescent="0.25">
      <c r="A329" s="1" t="s">
        <v>1451</v>
      </c>
      <c r="B329" s="1" t="s">
        <v>1452</v>
      </c>
      <c r="C329" s="2">
        <v>2005</v>
      </c>
      <c r="D329" s="1" t="s">
        <v>24</v>
      </c>
      <c r="E329" s="2">
        <v>0</v>
      </c>
      <c r="F329" s="1"/>
      <c r="G329" s="1"/>
      <c r="H329" s="2">
        <v>0</v>
      </c>
      <c r="I329" s="2">
        <v>0</v>
      </c>
      <c r="J329" s="1" t="s">
        <v>1453</v>
      </c>
      <c r="K329" s="1" t="s">
        <v>28</v>
      </c>
      <c r="L329" s="1" t="s">
        <v>51</v>
      </c>
      <c r="M329" s="1" t="s">
        <v>52</v>
      </c>
      <c r="N329" s="1" t="s">
        <v>53</v>
      </c>
      <c r="O329" s="1" t="s">
        <v>712</v>
      </c>
      <c r="P329" s="1" t="s">
        <v>45</v>
      </c>
      <c r="Q329" s="1" t="s">
        <v>28</v>
      </c>
      <c r="R329" s="1" t="s">
        <v>322</v>
      </c>
      <c r="S329" s="1" t="s">
        <v>56</v>
      </c>
      <c r="T329" s="3" t="str">
        <f>Sheet4!H329</f>
        <v xml:space="preserve"> View Map </v>
      </c>
    </row>
    <row r="330" spans="1:20" ht="15" x14ac:dyDescent="0.25">
      <c r="A330" s="1" t="s">
        <v>1454</v>
      </c>
      <c r="B330" s="1" t="s">
        <v>1455</v>
      </c>
      <c r="C330" s="2">
        <v>2016</v>
      </c>
      <c r="D330" s="1" t="s">
        <v>24</v>
      </c>
      <c r="E330" s="2">
        <v>1</v>
      </c>
      <c r="F330" s="1" t="s">
        <v>1455</v>
      </c>
      <c r="G330" s="1" t="s">
        <v>1455</v>
      </c>
      <c r="H330" s="2">
        <v>1700</v>
      </c>
      <c r="I330" s="2">
        <v>110000</v>
      </c>
      <c r="J330" s="1" t="s">
        <v>1456</v>
      </c>
      <c r="K330" s="2">
        <v>110000</v>
      </c>
      <c r="L330" s="1" t="s">
        <v>68</v>
      </c>
      <c r="M330" s="1" t="s">
        <v>69</v>
      </c>
      <c r="N330" s="1" t="s">
        <v>53</v>
      </c>
      <c r="O330" s="1" t="s">
        <v>127</v>
      </c>
      <c r="P330" s="1" t="s">
        <v>45</v>
      </c>
      <c r="Q330" s="1" t="s">
        <v>122</v>
      </c>
      <c r="R330" s="1" t="s">
        <v>105</v>
      </c>
      <c r="S330" s="1" t="s">
        <v>71</v>
      </c>
      <c r="T330" s="3" t="str">
        <f>Sheet4!H330</f>
        <v xml:space="preserve"> View Map </v>
      </c>
    </row>
    <row r="331" spans="1:20" ht="15" x14ac:dyDescent="0.25">
      <c r="A331" s="1" t="s">
        <v>1457</v>
      </c>
      <c r="B331" s="1" t="s">
        <v>1458</v>
      </c>
      <c r="C331" s="2">
        <v>2021</v>
      </c>
      <c r="D331" s="1" t="s">
        <v>24</v>
      </c>
      <c r="E331" s="2">
        <v>0</v>
      </c>
      <c r="F331" s="1"/>
      <c r="G331" s="1"/>
      <c r="H331" s="2">
        <v>0</v>
      </c>
      <c r="I331" s="2">
        <v>0</v>
      </c>
      <c r="J331" s="1" t="s">
        <v>1459</v>
      </c>
      <c r="K331" s="1" t="s">
        <v>28</v>
      </c>
      <c r="L331" s="1" t="s">
        <v>29</v>
      </c>
      <c r="M331" s="1" t="s">
        <v>134</v>
      </c>
      <c r="N331" s="1" t="s">
        <v>160</v>
      </c>
      <c r="O331" s="1" t="s">
        <v>199</v>
      </c>
      <c r="P331" s="1" t="s">
        <v>153</v>
      </c>
      <c r="Q331" s="1" t="s">
        <v>193</v>
      </c>
      <c r="R331" s="1" t="s">
        <v>370</v>
      </c>
      <c r="S331" s="1" t="s">
        <v>32</v>
      </c>
      <c r="T331" s="3" t="str">
        <f>Sheet4!H331</f>
        <v xml:space="preserve"> View Map </v>
      </c>
    </row>
    <row r="332" spans="1:20" ht="15" x14ac:dyDescent="0.25">
      <c r="A332" s="1" t="s">
        <v>1460</v>
      </c>
      <c r="B332" s="1" t="s">
        <v>1461</v>
      </c>
      <c r="C332" s="2">
        <v>2005</v>
      </c>
      <c r="D332" s="1" t="s">
        <v>24</v>
      </c>
      <c r="E332" s="2">
        <v>1</v>
      </c>
      <c r="F332" s="1" t="s">
        <v>1462</v>
      </c>
      <c r="G332" s="1" t="s">
        <v>1463</v>
      </c>
      <c r="H332" s="2">
        <v>1370</v>
      </c>
      <c r="I332" s="2">
        <v>65000</v>
      </c>
      <c r="J332" s="1" t="s">
        <v>1464</v>
      </c>
      <c r="K332" s="2">
        <v>65000</v>
      </c>
      <c r="L332" s="1" t="s">
        <v>29</v>
      </c>
      <c r="M332" s="1" t="s">
        <v>134</v>
      </c>
      <c r="N332" s="1" t="s">
        <v>160</v>
      </c>
      <c r="O332" s="1" t="s">
        <v>656</v>
      </c>
      <c r="P332" s="1" t="s">
        <v>153</v>
      </c>
      <c r="Q332" s="1" t="s">
        <v>184</v>
      </c>
      <c r="R332" s="1" t="s">
        <v>188</v>
      </c>
      <c r="S332" s="1" t="s">
        <v>32</v>
      </c>
      <c r="T332" s="3" t="str">
        <f>Sheet4!H332</f>
        <v xml:space="preserve"> View Map </v>
      </c>
    </row>
    <row r="333" spans="1:20" ht="15" x14ac:dyDescent="0.25">
      <c r="A333" s="1" t="s">
        <v>1465</v>
      </c>
      <c r="B333" s="1" t="s">
        <v>1466</v>
      </c>
      <c r="C333" s="2">
        <v>2022</v>
      </c>
      <c r="D333" s="1" t="s">
        <v>24</v>
      </c>
      <c r="E333" s="2">
        <v>1</v>
      </c>
      <c r="F333" s="1" t="s">
        <v>1467</v>
      </c>
      <c r="G333" s="1" t="s">
        <v>1468</v>
      </c>
      <c r="H333" s="2">
        <v>0</v>
      </c>
      <c r="I333" s="2">
        <v>40000</v>
      </c>
      <c r="J333" s="1" t="s">
        <v>1469</v>
      </c>
      <c r="K333" s="1" t="s">
        <v>28</v>
      </c>
      <c r="L333" s="1" t="s">
        <v>51</v>
      </c>
      <c r="M333" s="1" t="s">
        <v>52</v>
      </c>
      <c r="N333" s="1" t="s">
        <v>20</v>
      </c>
      <c r="O333" s="1" t="s">
        <v>43</v>
      </c>
      <c r="P333" s="1" t="s">
        <v>20</v>
      </c>
      <c r="Q333" s="1" t="s">
        <v>21</v>
      </c>
      <c r="R333" s="1" t="s">
        <v>262</v>
      </c>
      <c r="S333" s="1" t="s">
        <v>71</v>
      </c>
      <c r="T333" s="3" t="str">
        <f>Sheet4!H333</f>
        <v xml:space="preserve"> View Map </v>
      </c>
    </row>
    <row r="334" spans="1:20" ht="15" x14ac:dyDescent="0.25">
      <c r="A334" s="1" t="s">
        <v>1470</v>
      </c>
      <c r="B334" s="1" t="s">
        <v>1471</v>
      </c>
      <c r="C334" s="2">
        <v>2005</v>
      </c>
      <c r="D334" s="1" t="s">
        <v>24</v>
      </c>
      <c r="E334" s="2">
        <v>1</v>
      </c>
      <c r="F334" s="1" t="s">
        <v>1472</v>
      </c>
      <c r="G334" s="1" t="s">
        <v>1473</v>
      </c>
      <c r="H334" s="2">
        <v>165</v>
      </c>
      <c r="I334" s="2">
        <v>100790</v>
      </c>
      <c r="J334" s="1" t="s">
        <v>1474</v>
      </c>
      <c r="K334" s="2">
        <v>100790</v>
      </c>
      <c r="L334" s="1" t="s">
        <v>68</v>
      </c>
      <c r="M334" s="1" t="s">
        <v>69</v>
      </c>
      <c r="N334" s="1" t="s">
        <v>20</v>
      </c>
      <c r="O334" s="1" t="s">
        <v>173</v>
      </c>
      <c r="P334" s="1" t="s">
        <v>20</v>
      </c>
      <c r="Q334" s="1" t="s">
        <v>168</v>
      </c>
      <c r="R334" s="1" t="s">
        <v>784</v>
      </c>
      <c r="S334" s="1" t="s">
        <v>1475</v>
      </c>
      <c r="T334" s="3" t="str">
        <f>Sheet4!H334</f>
        <v xml:space="preserve"> View Map </v>
      </c>
    </row>
    <row r="335" spans="1:20" ht="15" x14ac:dyDescent="0.25">
      <c r="A335" s="1" t="s">
        <v>1476</v>
      </c>
      <c r="B335" s="1" t="s">
        <v>1477</v>
      </c>
      <c r="C335" s="2">
        <v>2018</v>
      </c>
      <c r="D335" s="1" t="s">
        <v>24</v>
      </c>
      <c r="E335" s="2">
        <v>1</v>
      </c>
      <c r="F335" s="1" t="s">
        <v>1478</v>
      </c>
      <c r="G335" s="1" t="s">
        <v>922</v>
      </c>
      <c r="H335" s="2">
        <v>5250</v>
      </c>
      <c r="I335" s="2">
        <v>100000</v>
      </c>
      <c r="J335" s="1" t="s">
        <v>1479</v>
      </c>
      <c r="K335" s="2">
        <v>30000</v>
      </c>
      <c r="L335" s="1" t="s">
        <v>29</v>
      </c>
      <c r="M335" s="1" t="s">
        <v>30</v>
      </c>
      <c r="N335" s="1" t="s">
        <v>20</v>
      </c>
      <c r="O335" s="1" t="s">
        <v>31</v>
      </c>
      <c r="P335" s="1" t="s">
        <v>20</v>
      </c>
      <c r="Q335" s="1" t="s">
        <v>33</v>
      </c>
      <c r="R335" s="1" t="s">
        <v>90</v>
      </c>
      <c r="S335" s="1" t="s">
        <v>32</v>
      </c>
      <c r="T335" s="3" t="str">
        <f>Sheet4!H335</f>
        <v xml:space="preserve"> View Map </v>
      </c>
    </row>
    <row r="336" spans="1:20" ht="15" x14ac:dyDescent="0.25">
      <c r="A336" s="1" t="s">
        <v>1480</v>
      </c>
      <c r="B336" s="1" t="s">
        <v>1481</v>
      </c>
      <c r="C336" s="2">
        <v>1920</v>
      </c>
      <c r="D336" s="1" t="s">
        <v>24</v>
      </c>
      <c r="E336" s="2">
        <v>1</v>
      </c>
      <c r="F336" s="1"/>
      <c r="G336" s="1" t="s">
        <v>922</v>
      </c>
      <c r="H336" s="2">
        <v>4599</v>
      </c>
      <c r="I336" s="2">
        <v>85000</v>
      </c>
      <c r="J336" s="1" t="s">
        <v>1482</v>
      </c>
      <c r="K336" s="2">
        <v>60000</v>
      </c>
      <c r="L336" s="1" t="s">
        <v>29</v>
      </c>
      <c r="M336" s="1" t="s">
        <v>30</v>
      </c>
      <c r="N336" s="1" t="s">
        <v>20</v>
      </c>
      <c r="O336" s="1" t="s">
        <v>31</v>
      </c>
      <c r="P336" s="1" t="s">
        <v>20</v>
      </c>
      <c r="Q336" s="1" t="s">
        <v>33</v>
      </c>
      <c r="R336" s="1" t="s">
        <v>90</v>
      </c>
      <c r="S336" s="1" t="s">
        <v>32</v>
      </c>
      <c r="T336" s="3" t="str">
        <f>Sheet4!H336</f>
        <v xml:space="preserve"> View Map </v>
      </c>
    </row>
    <row r="337" spans="1:20" ht="15" x14ac:dyDescent="0.25">
      <c r="A337" s="1" t="s">
        <v>1483</v>
      </c>
      <c r="B337" s="1" t="s">
        <v>1484</v>
      </c>
      <c r="C337" s="2">
        <v>2005</v>
      </c>
      <c r="D337" s="1" t="s">
        <v>24</v>
      </c>
      <c r="E337" s="2">
        <v>1</v>
      </c>
      <c r="F337" s="1" t="s">
        <v>1485</v>
      </c>
      <c r="G337" s="1"/>
      <c r="H337" s="2">
        <v>0</v>
      </c>
      <c r="I337" s="2">
        <v>16000</v>
      </c>
      <c r="J337" s="1" t="s">
        <v>1486</v>
      </c>
      <c r="K337" s="2">
        <v>16000</v>
      </c>
      <c r="L337" s="1" t="s">
        <v>29</v>
      </c>
      <c r="M337" s="1" t="s">
        <v>30</v>
      </c>
      <c r="N337" s="1" t="s">
        <v>20</v>
      </c>
      <c r="O337" s="1" t="s">
        <v>31</v>
      </c>
      <c r="P337" s="1" t="s">
        <v>20</v>
      </c>
      <c r="Q337" s="1" t="s">
        <v>33</v>
      </c>
      <c r="R337" s="1" t="s">
        <v>90</v>
      </c>
      <c r="S337" s="1" t="s">
        <v>32</v>
      </c>
      <c r="T337" s="3" t="str">
        <f>Sheet4!H337</f>
        <v xml:space="preserve"> View Map </v>
      </c>
    </row>
    <row r="338" spans="1:20" ht="15" x14ac:dyDescent="0.25">
      <c r="A338" s="1" t="s">
        <v>1487</v>
      </c>
      <c r="B338" s="1" t="s">
        <v>1488</v>
      </c>
      <c r="C338" s="2">
        <v>0</v>
      </c>
      <c r="D338" s="1" t="s">
        <v>24</v>
      </c>
      <c r="E338" s="2">
        <v>1</v>
      </c>
      <c r="F338" s="1"/>
      <c r="G338" s="1"/>
      <c r="H338" s="2">
        <v>5450</v>
      </c>
      <c r="I338" s="2">
        <v>26000</v>
      </c>
      <c r="J338" s="1" t="s">
        <v>1489</v>
      </c>
      <c r="K338" s="2">
        <v>26000</v>
      </c>
      <c r="L338" s="1" t="s">
        <v>29</v>
      </c>
      <c r="M338" s="1" t="s">
        <v>30</v>
      </c>
      <c r="N338" s="1" t="s">
        <v>20</v>
      </c>
      <c r="O338" s="1" t="s">
        <v>31</v>
      </c>
      <c r="P338" s="1" t="s">
        <v>20</v>
      </c>
      <c r="Q338" s="1" t="s">
        <v>129</v>
      </c>
      <c r="R338" s="1" t="s">
        <v>38</v>
      </c>
      <c r="S338" s="1" t="s">
        <v>32</v>
      </c>
      <c r="T338" s="3" t="str">
        <f>Sheet4!H338</f>
        <v xml:space="preserve"> View Map </v>
      </c>
    </row>
    <row r="339" spans="1:20" ht="15" x14ac:dyDescent="0.25">
      <c r="A339" s="1" t="s">
        <v>1491</v>
      </c>
      <c r="B339" s="1" t="s">
        <v>1492</v>
      </c>
      <c r="C339" s="2">
        <v>2005</v>
      </c>
      <c r="D339" s="1" t="s">
        <v>24</v>
      </c>
      <c r="E339" s="2">
        <v>0</v>
      </c>
      <c r="F339" s="1"/>
      <c r="G339" s="1" t="s">
        <v>1493</v>
      </c>
      <c r="H339" s="2">
        <v>0</v>
      </c>
      <c r="I339" s="2">
        <v>0</v>
      </c>
      <c r="J339" s="1" t="s">
        <v>783</v>
      </c>
      <c r="K339" s="1" t="s">
        <v>28</v>
      </c>
      <c r="L339" s="1" t="s">
        <v>68</v>
      </c>
      <c r="M339" s="1" t="s">
        <v>69</v>
      </c>
      <c r="N339" s="1" t="s">
        <v>322</v>
      </c>
      <c r="O339" s="1" t="s">
        <v>783</v>
      </c>
      <c r="P339" s="1" t="s">
        <v>162</v>
      </c>
      <c r="Q339" s="1" t="s">
        <v>1490</v>
      </c>
      <c r="R339" s="1" t="s">
        <v>784</v>
      </c>
      <c r="S339" s="1" t="s">
        <v>71</v>
      </c>
      <c r="T339" s="3" t="str">
        <f>Sheet4!H339</f>
        <v xml:space="preserve"> View Map </v>
      </c>
    </row>
    <row r="340" spans="1:20" ht="15" x14ac:dyDescent="0.25">
      <c r="A340" s="1" t="s">
        <v>1494</v>
      </c>
      <c r="B340" s="1" t="s">
        <v>297</v>
      </c>
      <c r="C340" s="2">
        <v>2005</v>
      </c>
      <c r="D340" s="1" t="s">
        <v>24</v>
      </c>
      <c r="E340" s="2">
        <v>1</v>
      </c>
      <c r="F340" s="1" t="s">
        <v>1495</v>
      </c>
      <c r="G340" s="1"/>
      <c r="H340" s="2">
        <v>50</v>
      </c>
      <c r="I340" s="2">
        <v>67000</v>
      </c>
      <c r="J340" s="1" t="s">
        <v>1496</v>
      </c>
      <c r="K340" s="2">
        <v>67000</v>
      </c>
      <c r="L340" s="1" t="s">
        <v>68</v>
      </c>
      <c r="M340" s="1" t="s">
        <v>69</v>
      </c>
      <c r="N340" s="1" t="s">
        <v>275</v>
      </c>
      <c r="O340" s="1" t="s">
        <v>297</v>
      </c>
      <c r="P340" s="1" t="s">
        <v>275</v>
      </c>
      <c r="Q340" s="1" t="s">
        <v>276</v>
      </c>
      <c r="R340" s="1" t="s">
        <v>275</v>
      </c>
      <c r="S340" s="1" t="s">
        <v>32</v>
      </c>
      <c r="T340" s="3" t="str">
        <f>Sheet4!H340</f>
        <v xml:space="preserve"> View Map </v>
      </c>
    </row>
    <row r="341" spans="1:20" ht="15" x14ac:dyDescent="0.25">
      <c r="A341" s="1" t="s">
        <v>1497</v>
      </c>
      <c r="B341" s="1" t="s">
        <v>1498</v>
      </c>
      <c r="C341" s="2">
        <v>2020</v>
      </c>
      <c r="D341" s="1" t="s">
        <v>24</v>
      </c>
      <c r="E341" s="2">
        <v>1</v>
      </c>
      <c r="F341" s="1" t="s">
        <v>1499</v>
      </c>
      <c r="G341" s="1" t="s">
        <v>1499</v>
      </c>
      <c r="H341" s="2">
        <v>0</v>
      </c>
      <c r="I341" s="2">
        <v>90000</v>
      </c>
      <c r="J341" s="1" t="s">
        <v>1500</v>
      </c>
      <c r="K341" s="1" t="s">
        <v>28</v>
      </c>
      <c r="L341" s="1" t="s">
        <v>51</v>
      </c>
      <c r="M341" s="1" t="s">
        <v>52</v>
      </c>
      <c r="N341" s="1" t="s">
        <v>20</v>
      </c>
      <c r="O341" s="1" t="s">
        <v>43</v>
      </c>
      <c r="P341" s="1" t="s">
        <v>45</v>
      </c>
      <c r="Q341" s="1" t="s">
        <v>46</v>
      </c>
      <c r="R341" s="1" t="s">
        <v>55</v>
      </c>
      <c r="S341" s="1" t="s">
        <v>71</v>
      </c>
      <c r="T341" s="3" t="str">
        <f>Sheet4!H341</f>
        <v xml:space="preserve"> View Map </v>
      </c>
    </row>
    <row r="342" spans="1:20" ht="15" x14ac:dyDescent="0.25">
      <c r="A342" s="1" t="s">
        <v>1501</v>
      </c>
      <c r="B342" s="1" t="s">
        <v>1502</v>
      </c>
      <c r="C342" s="2">
        <v>2005</v>
      </c>
      <c r="D342" s="1" t="s">
        <v>24</v>
      </c>
      <c r="E342" s="2">
        <v>1</v>
      </c>
      <c r="F342" s="1" t="s">
        <v>1503</v>
      </c>
      <c r="G342" s="1"/>
      <c r="H342" s="2">
        <v>0</v>
      </c>
      <c r="I342" s="2">
        <v>80000</v>
      </c>
      <c r="J342" s="1" t="s">
        <v>1504</v>
      </c>
      <c r="K342" s="2">
        <v>80000</v>
      </c>
      <c r="L342" s="1" t="s">
        <v>51</v>
      </c>
      <c r="M342" s="1" t="s">
        <v>52</v>
      </c>
      <c r="N342" s="1" t="s">
        <v>53</v>
      </c>
      <c r="O342" s="1" t="s">
        <v>440</v>
      </c>
      <c r="P342" s="1" t="s">
        <v>45</v>
      </c>
      <c r="Q342" s="1" t="s">
        <v>146</v>
      </c>
      <c r="R342" s="1" t="s">
        <v>443</v>
      </c>
      <c r="S342" s="1" t="s">
        <v>32</v>
      </c>
      <c r="T342" s="3" t="str">
        <f>Sheet4!H342</f>
        <v xml:space="preserve"> View Map </v>
      </c>
    </row>
    <row r="343" spans="1:20" ht="15" x14ac:dyDescent="0.25">
      <c r="A343" s="1" t="s">
        <v>1505</v>
      </c>
      <c r="B343" s="1" t="s">
        <v>1506</v>
      </c>
      <c r="C343" s="2">
        <v>2005</v>
      </c>
      <c r="D343" s="1" t="s">
        <v>24</v>
      </c>
      <c r="E343" s="2">
        <v>0</v>
      </c>
      <c r="F343" s="1"/>
      <c r="G343" s="1"/>
      <c r="H343" s="2">
        <v>0</v>
      </c>
      <c r="I343" s="2">
        <v>0</v>
      </c>
      <c r="J343" s="1" t="s">
        <v>1507</v>
      </c>
      <c r="K343" s="1" t="s">
        <v>28</v>
      </c>
      <c r="L343" s="1" t="s">
        <v>51</v>
      </c>
      <c r="M343" s="1" t="s">
        <v>52</v>
      </c>
      <c r="N343" s="1" t="s">
        <v>146</v>
      </c>
      <c r="O343" s="1" t="s">
        <v>440</v>
      </c>
      <c r="P343" s="1" t="s">
        <v>45</v>
      </c>
      <c r="Q343" s="1" t="s">
        <v>28</v>
      </c>
      <c r="R343" s="1" t="s">
        <v>443</v>
      </c>
      <c r="S343" s="1" t="s">
        <v>32</v>
      </c>
      <c r="T343" s="3" t="str">
        <f>Sheet4!H343</f>
        <v xml:space="preserve"> View Map </v>
      </c>
    </row>
    <row r="344" spans="1:20" ht="15" x14ac:dyDescent="0.25">
      <c r="A344" s="1" t="s">
        <v>1508</v>
      </c>
      <c r="B344" s="1" t="s">
        <v>1509</v>
      </c>
      <c r="C344" s="2">
        <v>2005</v>
      </c>
      <c r="D344" s="1" t="s">
        <v>24</v>
      </c>
      <c r="E344" s="2">
        <v>1</v>
      </c>
      <c r="F344" s="1" t="s">
        <v>1510</v>
      </c>
      <c r="G344" s="1"/>
      <c r="H344" s="2">
        <v>0</v>
      </c>
      <c r="I344" s="2">
        <v>28000</v>
      </c>
      <c r="J344" s="1" t="s">
        <v>1511</v>
      </c>
      <c r="K344" s="2">
        <v>28000</v>
      </c>
      <c r="L344" s="1" t="s">
        <v>68</v>
      </c>
      <c r="M344" s="1" t="s">
        <v>69</v>
      </c>
      <c r="N344" s="1" t="s">
        <v>162</v>
      </c>
      <c r="O344" s="1" t="s">
        <v>28</v>
      </c>
      <c r="P344" s="1" t="s">
        <v>162</v>
      </c>
      <c r="Q344" s="1" t="s">
        <v>516</v>
      </c>
      <c r="R344" s="1" t="s">
        <v>561</v>
      </c>
      <c r="S344" s="1" t="s">
        <v>32</v>
      </c>
      <c r="T344" s="3" t="str">
        <f>Sheet4!H344</f>
        <v xml:space="preserve"> View Map </v>
      </c>
    </row>
    <row r="345" spans="1:20" ht="15" x14ac:dyDescent="0.25">
      <c r="A345" s="1" t="s">
        <v>1512</v>
      </c>
      <c r="B345" s="1" t="s">
        <v>259</v>
      </c>
      <c r="C345" s="2">
        <v>2005</v>
      </c>
      <c r="D345" s="1" t="s">
        <v>24</v>
      </c>
      <c r="E345" s="2">
        <v>1</v>
      </c>
      <c r="F345" s="1" t="s">
        <v>257</v>
      </c>
      <c r="G345" s="1"/>
      <c r="H345" s="2">
        <v>0</v>
      </c>
      <c r="I345" s="2">
        <v>50000</v>
      </c>
      <c r="J345" s="1" t="s">
        <v>1513</v>
      </c>
      <c r="K345" s="2">
        <v>50000</v>
      </c>
      <c r="L345" s="1" t="s">
        <v>29</v>
      </c>
      <c r="M345" s="1" t="s">
        <v>30</v>
      </c>
      <c r="N345" s="1" t="s">
        <v>20</v>
      </c>
      <c r="O345" s="1" t="s">
        <v>173</v>
      </c>
      <c r="P345" s="1" t="s">
        <v>20</v>
      </c>
      <c r="Q345" s="1" t="s">
        <v>179</v>
      </c>
      <c r="R345" s="1" t="s">
        <v>259</v>
      </c>
      <c r="S345" s="1" t="s">
        <v>32</v>
      </c>
      <c r="T345" s="3" t="str">
        <f>Sheet4!H345</f>
        <v xml:space="preserve"> View Map </v>
      </c>
    </row>
    <row r="346" spans="1:20" ht="15" x14ac:dyDescent="0.25">
      <c r="A346" s="1" t="s">
        <v>1514</v>
      </c>
      <c r="B346" s="1" t="s">
        <v>1515</v>
      </c>
      <c r="C346" s="2">
        <v>0</v>
      </c>
      <c r="D346" s="1" t="s">
        <v>24</v>
      </c>
      <c r="E346" s="2">
        <v>0</v>
      </c>
      <c r="F346" s="1" t="s">
        <v>1516</v>
      </c>
      <c r="G346" s="1"/>
      <c r="H346" s="2">
        <v>4600</v>
      </c>
      <c r="I346" s="2">
        <v>0</v>
      </c>
      <c r="J346" s="1" t="s">
        <v>922</v>
      </c>
      <c r="K346" s="1" t="s">
        <v>28</v>
      </c>
      <c r="L346" s="1" t="s">
        <v>29</v>
      </c>
      <c r="M346" s="1" t="s">
        <v>30</v>
      </c>
      <c r="N346" s="1" t="s">
        <v>20</v>
      </c>
      <c r="O346" s="1" t="s">
        <v>173</v>
      </c>
      <c r="P346" s="1" t="s">
        <v>20</v>
      </c>
      <c r="Q346" s="1" t="s">
        <v>179</v>
      </c>
      <c r="R346" s="1" t="s">
        <v>90</v>
      </c>
      <c r="S346" s="1" t="s">
        <v>32</v>
      </c>
      <c r="T346" s="3" t="str">
        <f>Sheet4!H346</f>
        <v xml:space="preserve"> View Map </v>
      </c>
    </row>
    <row r="347" spans="1:20" ht="15" x14ac:dyDescent="0.25">
      <c r="A347" s="1" t="s">
        <v>1517</v>
      </c>
      <c r="B347" s="1" t="s">
        <v>1518</v>
      </c>
      <c r="C347" s="2">
        <v>2005</v>
      </c>
      <c r="D347" s="1" t="s">
        <v>24</v>
      </c>
      <c r="E347" s="2">
        <v>1</v>
      </c>
      <c r="F347" s="1" t="s">
        <v>1519</v>
      </c>
      <c r="G347" s="1"/>
      <c r="H347" s="2">
        <v>0</v>
      </c>
      <c r="I347" s="2">
        <v>80000</v>
      </c>
      <c r="J347" s="1" t="s">
        <v>1520</v>
      </c>
      <c r="K347" s="2">
        <v>80000</v>
      </c>
      <c r="L347" s="1" t="s">
        <v>51</v>
      </c>
      <c r="M347" s="1" t="s">
        <v>159</v>
      </c>
      <c r="N347" s="1" t="s">
        <v>160</v>
      </c>
      <c r="O347" s="1" t="s">
        <v>679</v>
      </c>
      <c r="P347" s="1" t="s">
        <v>153</v>
      </c>
      <c r="Q347" s="1" t="s">
        <v>193</v>
      </c>
      <c r="R347" s="1" t="s">
        <v>188</v>
      </c>
      <c r="S347" s="1" t="s">
        <v>32</v>
      </c>
      <c r="T347" s="3" t="str">
        <f>Sheet4!H347</f>
        <v xml:space="preserve"> View Map </v>
      </c>
    </row>
    <row r="348" spans="1:20" ht="15" x14ac:dyDescent="0.25">
      <c r="A348" s="1" t="s">
        <v>1521</v>
      </c>
      <c r="B348" s="1" t="s">
        <v>1522</v>
      </c>
      <c r="C348" s="2">
        <v>2005</v>
      </c>
      <c r="D348" s="1" t="s">
        <v>24</v>
      </c>
      <c r="E348" s="2">
        <v>1</v>
      </c>
      <c r="F348" s="1"/>
      <c r="G348" s="1"/>
      <c r="H348" s="2">
        <v>0</v>
      </c>
      <c r="I348" s="2">
        <v>66000</v>
      </c>
      <c r="J348" s="1" t="s">
        <v>1523</v>
      </c>
      <c r="K348" s="2">
        <v>66000</v>
      </c>
      <c r="L348" s="1" t="s">
        <v>51</v>
      </c>
      <c r="M348" s="1" t="s">
        <v>159</v>
      </c>
      <c r="N348" s="1" t="s">
        <v>160</v>
      </c>
      <c r="O348" s="1" t="s">
        <v>656</v>
      </c>
      <c r="P348" s="1" t="s">
        <v>153</v>
      </c>
      <c r="Q348" s="1" t="s">
        <v>193</v>
      </c>
      <c r="R348" s="1" t="s">
        <v>370</v>
      </c>
      <c r="S348" s="1" t="s">
        <v>32</v>
      </c>
      <c r="T348" s="3" t="str">
        <f>Sheet4!H348</f>
        <v xml:space="preserve"> View Map </v>
      </c>
    </row>
    <row r="349" spans="1:20" ht="15" x14ac:dyDescent="0.25">
      <c r="A349" s="1" t="s">
        <v>1524</v>
      </c>
      <c r="B349" s="1" t="s">
        <v>1525</v>
      </c>
      <c r="C349" s="2">
        <v>2021</v>
      </c>
      <c r="D349" s="1" t="s">
        <v>24</v>
      </c>
      <c r="E349" s="2">
        <v>0</v>
      </c>
      <c r="F349" s="1" t="s">
        <v>1526</v>
      </c>
      <c r="G349" s="1"/>
      <c r="H349" s="2">
        <v>0</v>
      </c>
      <c r="I349" s="2">
        <v>0</v>
      </c>
      <c r="J349" s="1" t="s">
        <v>1527</v>
      </c>
      <c r="K349" s="1" t="s">
        <v>28</v>
      </c>
      <c r="L349" s="1" t="s">
        <v>51</v>
      </c>
      <c r="M349" s="1" t="s">
        <v>159</v>
      </c>
      <c r="N349" s="1" t="s">
        <v>160</v>
      </c>
      <c r="O349" s="1" t="s">
        <v>1528</v>
      </c>
      <c r="P349" s="1" t="s">
        <v>153</v>
      </c>
      <c r="Q349" s="1" t="s">
        <v>184</v>
      </c>
      <c r="R349" s="1" t="s">
        <v>188</v>
      </c>
      <c r="S349" s="1" t="s">
        <v>32</v>
      </c>
      <c r="T349" s="3" t="str">
        <f>Sheet4!H349</f>
        <v xml:space="preserve"> View Map </v>
      </c>
    </row>
    <row r="350" spans="1:20" ht="15" x14ac:dyDescent="0.25">
      <c r="A350" s="1" t="s">
        <v>1529</v>
      </c>
      <c r="B350" s="1" t="s">
        <v>1530</v>
      </c>
      <c r="C350" s="2">
        <v>0</v>
      </c>
      <c r="D350" s="1" t="s">
        <v>24</v>
      </c>
      <c r="E350" s="2">
        <v>1</v>
      </c>
      <c r="F350" s="1" t="s">
        <v>1531</v>
      </c>
      <c r="G350" s="1" t="s">
        <v>1532</v>
      </c>
      <c r="H350" s="2">
        <v>3800</v>
      </c>
      <c r="I350" s="2">
        <v>50000</v>
      </c>
      <c r="J350" s="1" t="s">
        <v>1533</v>
      </c>
      <c r="K350" s="2">
        <v>23000</v>
      </c>
      <c r="L350" s="1" t="s">
        <v>29</v>
      </c>
      <c r="M350" s="1" t="s">
        <v>30</v>
      </c>
      <c r="N350" s="1" t="s">
        <v>20</v>
      </c>
      <c r="O350" s="1" t="s">
        <v>173</v>
      </c>
      <c r="P350" s="1" t="s">
        <v>20</v>
      </c>
      <c r="Q350" s="1" t="s">
        <v>179</v>
      </c>
      <c r="R350" s="1" t="s">
        <v>174</v>
      </c>
      <c r="S350" s="1" t="s">
        <v>71</v>
      </c>
      <c r="T350" s="3" t="str">
        <f>Sheet4!H350</f>
        <v xml:space="preserve"> View Map </v>
      </c>
    </row>
    <row r="351" spans="1:20" ht="15" x14ac:dyDescent="0.25">
      <c r="A351" s="1" t="s">
        <v>1534</v>
      </c>
      <c r="B351" s="1" t="s">
        <v>1535</v>
      </c>
      <c r="C351" s="2">
        <v>2005</v>
      </c>
      <c r="D351" s="1" t="s">
        <v>24</v>
      </c>
      <c r="E351" s="2">
        <v>0</v>
      </c>
      <c r="F351" s="1" t="s">
        <v>1536</v>
      </c>
      <c r="G351" s="1" t="s">
        <v>1537</v>
      </c>
      <c r="H351" s="2">
        <v>11500</v>
      </c>
      <c r="I351" s="2">
        <v>0</v>
      </c>
      <c r="J351" s="1" t="s">
        <v>1538</v>
      </c>
      <c r="K351" s="1" t="s">
        <v>28</v>
      </c>
      <c r="L351" s="1" t="s">
        <v>51</v>
      </c>
      <c r="M351" s="1" t="s">
        <v>52</v>
      </c>
      <c r="N351" s="1" t="s">
        <v>146</v>
      </c>
      <c r="O351" s="1" t="s">
        <v>152</v>
      </c>
      <c r="P351" s="1" t="s">
        <v>45</v>
      </c>
      <c r="Q351" s="1" t="s">
        <v>146</v>
      </c>
      <c r="R351" s="1" t="s">
        <v>105</v>
      </c>
      <c r="S351" s="1" t="s">
        <v>56</v>
      </c>
      <c r="T351" s="3" t="str">
        <f>Sheet4!H351</f>
        <v xml:space="preserve"> View Map </v>
      </c>
    </row>
    <row r="352" spans="1:20" ht="15" x14ac:dyDescent="0.25">
      <c r="A352" s="1" t="s">
        <v>1539</v>
      </c>
      <c r="B352" s="1" t="s">
        <v>1540</v>
      </c>
      <c r="C352" s="2">
        <v>2005</v>
      </c>
      <c r="D352" s="1" t="s">
        <v>24</v>
      </c>
      <c r="E352" s="2">
        <v>1</v>
      </c>
      <c r="F352" s="1" t="s">
        <v>1541</v>
      </c>
      <c r="G352" s="1"/>
      <c r="H352" s="2">
        <v>0</v>
      </c>
      <c r="I352" s="2">
        <v>51500</v>
      </c>
      <c r="J352" s="1" t="s">
        <v>1542</v>
      </c>
      <c r="K352" s="2">
        <v>51500</v>
      </c>
      <c r="L352" s="1" t="s">
        <v>29</v>
      </c>
      <c r="M352" s="1" t="s">
        <v>134</v>
      </c>
      <c r="N352" s="1" t="s">
        <v>20</v>
      </c>
      <c r="O352" s="1" t="s">
        <v>618</v>
      </c>
      <c r="P352" s="1" t="s">
        <v>45</v>
      </c>
      <c r="Q352" s="1" t="s">
        <v>53</v>
      </c>
      <c r="R352" s="1" t="s">
        <v>85</v>
      </c>
      <c r="S352" s="1" t="s">
        <v>32</v>
      </c>
      <c r="T352" s="3" t="str">
        <f>Sheet4!H352</f>
        <v xml:space="preserve"> View Map </v>
      </c>
    </row>
    <row r="353" spans="1:20" ht="15" x14ac:dyDescent="0.25">
      <c r="A353" s="1" t="s">
        <v>1543</v>
      </c>
      <c r="B353" s="1" t="s">
        <v>1544</v>
      </c>
      <c r="C353" s="2">
        <v>2005</v>
      </c>
      <c r="D353" s="1" t="s">
        <v>24</v>
      </c>
      <c r="E353" s="2">
        <v>1</v>
      </c>
      <c r="F353" s="1" t="s">
        <v>1545</v>
      </c>
      <c r="G353" s="1"/>
      <c r="H353" s="2">
        <v>0</v>
      </c>
      <c r="I353" s="2">
        <v>52500</v>
      </c>
      <c r="J353" s="1" t="s">
        <v>1416</v>
      </c>
      <c r="K353" s="2">
        <v>52500</v>
      </c>
      <c r="L353" s="1" t="s">
        <v>29</v>
      </c>
      <c r="M353" s="1" t="s">
        <v>30</v>
      </c>
      <c r="N353" s="1" t="s">
        <v>20</v>
      </c>
      <c r="O353" s="1" t="s">
        <v>31</v>
      </c>
      <c r="P353" s="1" t="s">
        <v>20</v>
      </c>
      <c r="Q353" s="1" t="s">
        <v>33</v>
      </c>
      <c r="R353" s="1" t="s">
        <v>44</v>
      </c>
      <c r="S353" s="1" t="s">
        <v>32</v>
      </c>
      <c r="T353" s="3" t="str">
        <f>Sheet4!H353</f>
        <v xml:space="preserve"> View Map </v>
      </c>
    </row>
    <row r="354" spans="1:20" ht="15" x14ac:dyDescent="0.25">
      <c r="A354" s="1" t="s">
        <v>1546</v>
      </c>
      <c r="B354" s="1" t="s">
        <v>1547</v>
      </c>
      <c r="C354" s="2">
        <v>2005</v>
      </c>
      <c r="D354" s="1" t="s">
        <v>24</v>
      </c>
      <c r="E354" s="2">
        <v>0</v>
      </c>
      <c r="F354" s="1" t="s">
        <v>939</v>
      </c>
      <c r="G354" s="1" t="s">
        <v>939</v>
      </c>
      <c r="H354" s="2">
        <v>2700</v>
      </c>
      <c r="I354" s="2">
        <v>0</v>
      </c>
      <c r="J354" s="1" t="s">
        <v>1548</v>
      </c>
      <c r="K354" s="1" t="s">
        <v>28</v>
      </c>
      <c r="L354" s="1" t="s">
        <v>51</v>
      </c>
      <c r="M354" s="1" t="s">
        <v>52</v>
      </c>
      <c r="N354" s="1" t="s">
        <v>146</v>
      </c>
      <c r="O354" s="1" t="s">
        <v>825</v>
      </c>
      <c r="P354" s="1" t="s">
        <v>45</v>
      </c>
      <c r="Q354" s="1" t="s">
        <v>146</v>
      </c>
      <c r="R354" s="1" t="s">
        <v>343</v>
      </c>
      <c r="S354" s="1" t="s">
        <v>56</v>
      </c>
      <c r="T354" s="3" t="str">
        <f>Sheet4!H354</f>
        <v xml:space="preserve"> View Map </v>
      </c>
    </row>
    <row r="355" spans="1:20" ht="15" x14ac:dyDescent="0.25">
      <c r="A355" s="1" t="s">
        <v>1549</v>
      </c>
      <c r="B355" s="1" t="s">
        <v>1550</v>
      </c>
      <c r="C355" s="2">
        <v>2005</v>
      </c>
      <c r="D355" s="1" t="s">
        <v>24</v>
      </c>
      <c r="E355" s="2">
        <v>1</v>
      </c>
      <c r="F355" s="1" t="s">
        <v>1551</v>
      </c>
      <c r="G355" s="1"/>
      <c r="H355" s="2">
        <v>4600</v>
      </c>
      <c r="I355" s="2">
        <v>65000</v>
      </c>
      <c r="J355" s="1" t="s">
        <v>679</v>
      </c>
      <c r="K355" s="2">
        <v>65000</v>
      </c>
      <c r="L355" s="1" t="s">
        <v>29</v>
      </c>
      <c r="M355" s="1" t="s">
        <v>134</v>
      </c>
      <c r="N355" s="1" t="s">
        <v>160</v>
      </c>
      <c r="O355" s="1" t="s">
        <v>187</v>
      </c>
      <c r="P355" s="1" t="s">
        <v>153</v>
      </c>
      <c r="Q355" s="1" t="s">
        <v>184</v>
      </c>
      <c r="R355" s="1" t="s">
        <v>188</v>
      </c>
      <c r="S355" s="1" t="s">
        <v>32</v>
      </c>
      <c r="T355" s="3" t="str">
        <f>Sheet4!H355</f>
        <v xml:space="preserve"> View Map </v>
      </c>
    </row>
    <row r="356" spans="1:20" ht="15" x14ac:dyDescent="0.25">
      <c r="A356" s="1" t="s">
        <v>1552</v>
      </c>
      <c r="B356" s="1" t="s">
        <v>1553</v>
      </c>
      <c r="C356" s="2">
        <v>2005</v>
      </c>
      <c r="D356" s="1" t="s">
        <v>24</v>
      </c>
      <c r="E356" s="2">
        <v>1</v>
      </c>
      <c r="F356" s="1" t="s">
        <v>1554</v>
      </c>
      <c r="G356" s="1" t="s">
        <v>1555</v>
      </c>
      <c r="H356" s="2">
        <v>0</v>
      </c>
      <c r="I356" s="2">
        <v>64500</v>
      </c>
      <c r="J356" s="1" t="s">
        <v>1556</v>
      </c>
      <c r="K356" s="2">
        <v>64500</v>
      </c>
      <c r="L356" s="1" t="s">
        <v>51</v>
      </c>
      <c r="M356" s="1" t="s">
        <v>159</v>
      </c>
      <c r="N356" s="1" t="s">
        <v>160</v>
      </c>
      <c r="O356" s="1" t="s">
        <v>679</v>
      </c>
      <c r="P356" s="1" t="s">
        <v>153</v>
      </c>
      <c r="Q356" s="1" t="s">
        <v>193</v>
      </c>
      <c r="R356" s="1" t="s">
        <v>188</v>
      </c>
      <c r="S356" s="1" t="s">
        <v>32</v>
      </c>
      <c r="T356" s="3" t="str">
        <f>Sheet4!H356</f>
        <v xml:space="preserve"> View Map </v>
      </c>
    </row>
    <row r="357" spans="1:20" ht="15" x14ac:dyDescent="0.25">
      <c r="A357" s="1" t="s">
        <v>1557</v>
      </c>
      <c r="B357" s="1" t="s">
        <v>1558</v>
      </c>
      <c r="C357" s="2">
        <v>2005</v>
      </c>
      <c r="D357" s="1" t="s">
        <v>24</v>
      </c>
      <c r="E357" s="2">
        <v>0</v>
      </c>
      <c r="F357" s="1"/>
      <c r="G357" s="1"/>
      <c r="H357" s="2">
        <v>0</v>
      </c>
      <c r="I357" s="2">
        <v>0</v>
      </c>
      <c r="J357" s="1"/>
      <c r="K357" s="1" t="s">
        <v>28</v>
      </c>
      <c r="L357" s="1" t="s">
        <v>51</v>
      </c>
      <c r="M357" s="1" t="s">
        <v>28</v>
      </c>
      <c r="N357" s="1" t="s">
        <v>146</v>
      </c>
      <c r="O357" s="1" t="s">
        <v>28</v>
      </c>
      <c r="P357" s="1" t="s">
        <v>45</v>
      </c>
      <c r="Q357" s="1" t="s">
        <v>28</v>
      </c>
      <c r="R357" s="1" t="s">
        <v>343</v>
      </c>
      <c r="S357" s="1" t="s">
        <v>71</v>
      </c>
      <c r="T357" s="3" t="str">
        <f>Sheet4!H357</f>
        <v xml:space="preserve"> View Map </v>
      </c>
    </row>
    <row r="358" spans="1:20" ht="15" x14ac:dyDescent="0.25">
      <c r="A358" s="1" t="s">
        <v>1559</v>
      </c>
      <c r="B358" s="1" t="s">
        <v>1560</v>
      </c>
      <c r="C358" s="2">
        <v>2005</v>
      </c>
      <c r="D358" s="1" t="s">
        <v>24</v>
      </c>
      <c r="E358" s="2">
        <v>1</v>
      </c>
      <c r="F358" s="1" t="s">
        <v>1561</v>
      </c>
      <c r="G358" s="1" t="s">
        <v>1562</v>
      </c>
      <c r="H358" s="2">
        <v>0</v>
      </c>
      <c r="I358" s="2">
        <v>64000</v>
      </c>
      <c r="J358" s="1" t="s">
        <v>1563</v>
      </c>
      <c r="K358" s="2">
        <v>64000</v>
      </c>
      <c r="L358" s="1" t="s">
        <v>29</v>
      </c>
      <c r="M358" s="1" t="s">
        <v>134</v>
      </c>
      <c r="N358" s="1" t="s">
        <v>160</v>
      </c>
      <c r="O358" s="1" t="s">
        <v>587</v>
      </c>
      <c r="P358" s="1" t="s">
        <v>153</v>
      </c>
      <c r="Q358" s="1" t="s">
        <v>153</v>
      </c>
      <c r="R358" s="1" t="s">
        <v>588</v>
      </c>
      <c r="S358" s="1" t="s">
        <v>32</v>
      </c>
      <c r="T358" s="3" t="str">
        <f>Sheet4!H358</f>
        <v xml:space="preserve"> View Map </v>
      </c>
    </row>
    <row r="359" spans="1:20" ht="15" x14ac:dyDescent="0.25">
      <c r="A359" s="1" t="s">
        <v>1564</v>
      </c>
      <c r="B359" s="1" t="s">
        <v>1565</v>
      </c>
      <c r="C359" s="2">
        <v>2018</v>
      </c>
      <c r="D359" s="1" t="s">
        <v>24</v>
      </c>
      <c r="E359" s="2">
        <v>1</v>
      </c>
      <c r="F359" s="1" t="s">
        <v>1566</v>
      </c>
      <c r="G359" s="1" t="s">
        <v>1566</v>
      </c>
      <c r="H359" s="2">
        <v>750</v>
      </c>
      <c r="I359" s="2">
        <v>35664</v>
      </c>
      <c r="J359" s="1" t="s">
        <v>1567</v>
      </c>
      <c r="K359" s="2">
        <v>35664</v>
      </c>
      <c r="L359" s="1" t="s">
        <v>68</v>
      </c>
      <c r="M359" s="1" t="s">
        <v>69</v>
      </c>
      <c r="N359" s="1" t="s">
        <v>162</v>
      </c>
      <c r="O359" s="1" t="s">
        <v>1568</v>
      </c>
      <c r="P359" s="1" t="s">
        <v>162</v>
      </c>
      <c r="Q359" s="1" t="s">
        <v>162</v>
      </c>
      <c r="R359" s="1" t="s">
        <v>162</v>
      </c>
      <c r="S359" s="1" t="s">
        <v>32</v>
      </c>
      <c r="T359" s="3" t="str">
        <f>Sheet4!H359</f>
        <v xml:space="preserve"> View Map </v>
      </c>
    </row>
    <row r="360" spans="1:20" ht="15" x14ac:dyDescent="0.25">
      <c r="A360" s="1" t="s">
        <v>1569</v>
      </c>
      <c r="B360" s="1" t="s">
        <v>1570</v>
      </c>
      <c r="C360" s="2">
        <v>1967</v>
      </c>
      <c r="D360" s="1" t="s">
        <v>24</v>
      </c>
      <c r="E360" s="2">
        <v>1</v>
      </c>
      <c r="F360" s="1"/>
      <c r="G360" s="1"/>
      <c r="H360" s="2">
        <v>1760</v>
      </c>
      <c r="I360" s="2">
        <v>67500</v>
      </c>
      <c r="J360" s="1" t="s">
        <v>1571</v>
      </c>
      <c r="K360" s="2">
        <v>67500</v>
      </c>
      <c r="L360" s="1" t="s">
        <v>29</v>
      </c>
      <c r="M360" s="1" t="s">
        <v>30</v>
      </c>
      <c r="N360" s="1" t="s">
        <v>20</v>
      </c>
      <c r="O360" s="1" t="s">
        <v>173</v>
      </c>
      <c r="P360" s="1" t="s">
        <v>20</v>
      </c>
      <c r="Q360" s="1" t="s">
        <v>168</v>
      </c>
      <c r="R360" s="1" t="s">
        <v>174</v>
      </c>
      <c r="S360" s="1" t="s">
        <v>32</v>
      </c>
      <c r="T360" s="3" t="str">
        <f>Sheet4!H360</f>
        <v xml:space="preserve"> View Map </v>
      </c>
    </row>
    <row r="361" spans="1:20" ht="15" x14ac:dyDescent="0.25">
      <c r="A361" s="1" t="s">
        <v>1572</v>
      </c>
      <c r="B361" s="1" t="s">
        <v>1573</v>
      </c>
      <c r="C361" s="2">
        <v>2015</v>
      </c>
      <c r="D361" s="1" t="s">
        <v>24</v>
      </c>
      <c r="E361" s="2">
        <v>1</v>
      </c>
      <c r="F361" s="1" t="s">
        <v>1574</v>
      </c>
      <c r="G361" s="1"/>
      <c r="H361" s="2">
        <v>4800</v>
      </c>
      <c r="I361" s="2">
        <v>25000</v>
      </c>
      <c r="J361" s="1" t="s">
        <v>1575</v>
      </c>
      <c r="K361" s="2">
        <v>10000</v>
      </c>
      <c r="L361" s="1" t="s">
        <v>29</v>
      </c>
      <c r="M361" s="1" t="s">
        <v>30</v>
      </c>
      <c r="N361" s="1" t="s">
        <v>20</v>
      </c>
      <c r="O361" s="1" t="s">
        <v>31</v>
      </c>
      <c r="P361" s="1" t="s">
        <v>20</v>
      </c>
      <c r="Q361" s="1" t="s">
        <v>33</v>
      </c>
      <c r="R361" s="1" t="s">
        <v>38</v>
      </c>
      <c r="S361" s="1" t="s">
        <v>32</v>
      </c>
      <c r="T361" s="3" t="str">
        <f>Sheet4!H361</f>
        <v xml:space="preserve"> View Map </v>
      </c>
    </row>
    <row r="362" spans="1:20" ht="15" x14ac:dyDescent="0.25">
      <c r="A362" s="1" t="s">
        <v>1576</v>
      </c>
      <c r="B362" s="1" t="s">
        <v>1577</v>
      </c>
      <c r="C362" s="2">
        <v>2021</v>
      </c>
      <c r="D362" s="1" t="s">
        <v>24</v>
      </c>
      <c r="E362" s="2">
        <v>1</v>
      </c>
      <c r="F362" s="1" t="s">
        <v>426</v>
      </c>
      <c r="G362" s="1" t="s">
        <v>426</v>
      </c>
      <c r="H362" s="2">
        <v>1207</v>
      </c>
      <c r="I362" s="2">
        <v>130000</v>
      </c>
      <c r="J362" s="1" t="s">
        <v>1578</v>
      </c>
      <c r="K362" s="2">
        <v>90000</v>
      </c>
      <c r="L362" s="1" t="s">
        <v>29</v>
      </c>
      <c r="M362" s="1" t="s">
        <v>30</v>
      </c>
      <c r="N362" s="1" t="s">
        <v>20</v>
      </c>
      <c r="O362" s="1" t="s">
        <v>31</v>
      </c>
      <c r="P362" s="1" t="s">
        <v>20</v>
      </c>
      <c r="Q362" s="1" t="s">
        <v>33</v>
      </c>
      <c r="R362" s="1" t="s">
        <v>38</v>
      </c>
      <c r="S362" s="1" t="s">
        <v>32</v>
      </c>
      <c r="T362" s="3" t="str">
        <f>Sheet4!H362</f>
        <v xml:space="preserve"> View Map </v>
      </c>
    </row>
    <row r="363" spans="1:20" ht="15" x14ac:dyDescent="0.25">
      <c r="A363" s="1" t="s">
        <v>1579</v>
      </c>
      <c r="B363" s="1" t="s">
        <v>1580</v>
      </c>
      <c r="C363" s="2">
        <v>2005</v>
      </c>
      <c r="D363" s="1" t="s">
        <v>24</v>
      </c>
      <c r="E363" s="2">
        <v>0</v>
      </c>
      <c r="F363" s="1"/>
      <c r="G363" s="1" t="s">
        <v>1581</v>
      </c>
      <c r="H363" s="2">
        <v>1500</v>
      </c>
      <c r="I363" s="2">
        <v>32000</v>
      </c>
      <c r="J363" s="1" t="s">
        <v>1582</v>
      </c>
      <c r="K363" s="1" t="s">
        <v>28</v>
      </c>
      <c r="L363" s="1" t="s">
        <v>51</v>
      </c>
      <c r="M363" s="1" t="s">
        <v>52</v>
      </c>
      <c r="N363" s="1" t="s">
        <v>162</v>
      </c>
      <c r="O363" s="1" t="s">
        <v>28</v>
      </c>
      <c r="P363" s="1" t="s">
        <v>162</v>
      </c>
      <c r="Q363" s="1" t="s">
        <v>316</v>
      </c>
      <c r="R363" s="1" t="s">
        <v>55</v>
      </c>
      <c r="S363" s="1" t="s">
        <v>56</v>
      </c>
      <c r="T363" s="3" t="str">
        <f>Sheet4!H363</f>
        <v xml:space="preserve"> View Map </v>
      </c>
    </row>
    <row r="364" spans="1:20" ht="15" x14ac:dyDescent="0.25">
      <c r="A364" s="1" t="s">
        <v>1583</v>
      </c>
      <c r="B364" s="1" t="s">
        <v>1584</v>
      </c>
      <c r="C364" s="2">
        <v>2022</v>
      </c>
      <c r="D364" s="1" t="s">
        <v>24</v>
      </c>
      <c r="E364" s="2">
        <v>1</v>
      </c>
      <c r="F364" s="1" t="s">
        <v>1585</v>
      </c>
      <c r="G364" s="1"/>
      <c r="H364" s="2">
        <v>1280</v>
      </c>
      <c r="I364" s="2">
        <v>24000</v>
      </c>
      <c r="J364" s="1" t="s">
        <v>1586</v>
      </c>
      <c r="K364" s="2">
        <v>22000</v>
      </c>
      <c r="L364" s="1" t="s">
        <v>29</v>
      </c>
      <c r="M364" s="1" t="s">
        <v>30</v>
      </c>
      <c r="N364" s="1" t="s">
        <v>20</v>
      </c>
      <c r="O364" s="1" t="s">
        <v>31</v>
      </c>
      <c r="P364" s="1" t="s">
        <v>20</v>
      </c>
      <c r="Q364" s="1" t="s">
        <v>21</v>
      </c>
      <c r="R364" s="1" t="s">
        <v>20</v>
      </c>
      <c r="S364" s="1" t="s">
        <v>32</v>
      </c>
      <c r="T364" s="3" t="str">
        <f>Sheet4!H364</f>
        <v xml:space="preserve"> View Map </v>
      </c>
    </row>
    <row r="365" spans="1:20" ht="15" x14ac:dyDescent="0.25">
      <c r="A365" s="1" t="s">
        <v>1587</v>
      </c>
      <c r="B365" s="1" t="s">
        <v>1588</v>
      </c>
      <c r="C365" s="2">
        <v>0</v>
      </c>
      <c r="D365" s="1" t="s">
        <v>24</v>
      </c>
      <c r="E365" s="2">
        <v>1</v>
      </c>
      <c r="F365" s="1" t="s">
        <v>1589</v>
      </c>
      <c r="G365" s="1" t="s">
        <v>1590</v>
      </c>
      <c r="H365" s="2">
        <v>0</v>
      </c>
      <c r="I365" s="2">
        <v>50000</v>
      </c>
      <c r="J365" s="1" t="s">
        <v>1591</v>
      </c>
      <c r="K365" s="2">
        <v>50000</v>
      </c>
      <c r="L365" s="1" t="s">
        <v>51</v>
      </c>
      <c r="M365" s="1" t="s">
        <v>52</v>
      </c>
      <c r="N365" s="1" t="s">
        <v>53</v>
      </c>
      <c r="O365" s="1" t="s">
        <v>84</v>
      </c>
      <c r="P365" s="1" t="s">
        <v>45</v>
      </c>
      <c r="Q365" s="1" t="s">
        <v>45</v>
      </c>
      <c r="R365" s="1" t="s">
        <v>85</v>
      </c>
      <c r="S365" s="1" t="s">
        <v>32</v>
      </c>
      <c r="T365" s="3" t="str">
        <f>Sheet4!H365</f>
        <v xml:space="preserve"> View Map </v>
      </c>
    </row>
    <row r="366" spans="1:20" ht="15" x14ac:dyDescent="0.25">
      <c r="A366" s="1" t="s">
        <v>1592</v>
      </c>
      <c r="B366" s="1" t="s">
        <v>1593</v>
      </c>
      <c r="C366" s="2">
        <v>2005</v>
      </c>
      <c r="D366" s="1" t="s">
        <v>24</v>
      </c>
      <c r="E366" s="2">
        <v>1</v>
      </c>
      <c r="F366" s="1" t="s">
        <v>571</v>
      </c>
      <c r="G366" s="1" t="s">
        <v>1594</v>
      </c>
      <c r="H366" s="2">
        <v>5000</v>
      </c>
      <c r="I366" s="2">
        <v>54000</v>
      </c>
      <c r="J366" s="1" t="s">
        <v>1595</v>
      </c>
      <c r="K366" s="2">
        <v>54000</v>
      </c>
      <c r="L366" s="1" t="s">
        <v>29</v>
      </c>
      <c r="M366" s="1" t="s">
        <v>30</v>
      </c>
      <c r="N366" s="1" t="s">
        <v>20</v>
      </c>
      <c r="O366" s="1" t="s">
        <v>173</v>
      </c>
      <c r="P366" s="1" t="s">
        <v>20</v>
      </c>
      <c r="Q366" s="1" t="s">
        <v>179</v>
      </c>
      <c r="R366" s="1" t="s">
        <v>259</v>
      </c>
      <c r="S366" s="1" t="s">
        <v>32</v>
      </c>
      <c r="T366" s="3" t="str">
        <f>Sheet4!H366</f>
        <v xml:space="preserve"> View Map </v>
      </c>
    </row>
    <row r="367" spans="1:20" ht="15" x14ac:dyDescent="0.25">
      <c r="A367" s="1" t="s">
        <v>1596</v>
      </c>
      <c r="B367" s="1" t="s">
        <v>1597</v>
      </c>
      <c r="C367" s="2">
        <v>0</v>
      </c>
      <c r="D367" s="1" t="s">
        <v>24</v>
      </c>
      <c r="E367" s="2">
        <v>0</v>
      </c>
      <c r="F367" s="1" t="s">
        <v>1598</v>
      </c>
      <c r="G367" s="1" t="s">
        <v>1597</v>
      </c>
      <c r="H367" s="2">
        <v>3200</v>
      </c>
      <c r="I367" s="2">
        <v>0</v>
      </c>
      <c r="J367" s="1" t="s">
        <v>1599</v>
      </c>
      <c r="K367" s="1" t="s">
        <v>28</v>
      </c>
      <c r="L367" s="1" t="s">
        <v>51</v>
      </c>
      <c r="M367" s="1" t="s">
        <v>52</v>
      </c>
      <c r="N367" s="1" t="s">
        <v>53</v>
      </c>
      <c r="O367" s="1" t="s">
        <v>1600</v>
      </c>
      <c r="P367" s="1" t="s">
        <v>45</v>
      </c>
      <c r="Q367" s="1" t="s">
        <v>53</v>
      </c>
      <c r="R367" s="1" t="s">
        <v>443</v>
      </c>
      <c r="S367" s="1" t="s">
        <v>56</v>
      </c>
      <c r="T367" s="3" t="str">
        <f>Sheet4!H367</f>
        <v xml:space="preserve"> View Map </v>
      </c>
    </row>
    <row r="368" spans="1:20" ht="15" x14ac:dyDescent="0.25">
      <c r="A368" s="1" t="s">
        <v>1601</v>
      </c>
      <c r="B368" s="1" t="s">
        <v>1602</v>
      </c>
      <c r="C368" s="2">
        <v>2005</v>
      </c>
      <c r="D368" s="1" t="s">
        <v>24</v>
      </c>
      <c r="E368" s="2">
        <v>1</v>
      </c>
      <c r="F368" s="1" t="s">
        <v>93</v>
      </c>
      <c r="G368" s="1" t="s">
        <v>922</v>
      </c>
      <c r="H368" s="2">
        <v>0</v>
      </c>
      <c r="I368" s="2">
        <v>85000</v>
      </c>
      <c r="J368" s="1" t="s">
        <v>922</v>
      </c>
      <c r="K368" s="2">
        <v>68000</v>
      </c>
      <c r="L368" s="1" t="s">
        <v>29</v>
      </c>
      <c r="M368" s="1" t="s">
        <v>30</v>
      </c>
      <c r="N368" s="1" t="s">
        <v>20</v>
      </c>
      <c r="O368" s="1" t="s">
        <v>31</v>
      </c>
      <c r="P368" s="1" t="s">
        <v>20</v>
      </c>
      <c r="Q368" s="1" t="s">
        <v>33</v>
      </c>
      <c r="R368" s="1" t="s">
        <v>90</v>
      </c>
      <c r="S368" s="1" t="s">
        <v>32</v>
      </c>
      <c r="T368" s="3" t="str">
        <f>Sheet4!H368</f>
        <v xml:space="preserve"> View Map </v>
      </c>
    </row>
    <row r="369" spans="1:20" ht="15" x14ac:dyDescent="0.25">
      <c r="A369" s="1" t="s">
        <v>1603</v>
      </c>
      <c r="B369" s="1" t="s">
        <v>1604</v>
      </c>
      <c r="C369" s="2">
        <v>2020</v>
      </c>
      <c r="D369" s="1" t="s">
        <v>24</v>
      </c>
      <c r="E369" s="2">
        <v>0</v>
      </c>
      <c r="F369" s="1" t="s">
        <v>97</v>
      </c>
      <c r="G369" s="1"/>
      <c r="H369" s="2">
        <v>5400</v>
      </c>
      <c r="I369" s="2">
        <v>20000</v>
      </c>
      <c r="J369" s="1" t="s">
        <v>1605</v>
      </c>
      <c r="K369" s="2">
        <v>20000</v>
      </c>
      <c r="L369" s="1" t="s">
        <v>51</v>
      </c>
      <c r="M369" s="1" t="s">
        <v>52</v>
      </c>
      <c r="N369" s="1" t="s">
        <v>53</v>
      </c>
      <c r="O369" s="1" t="s">
        <v>84</v>
      </c>
      <c r="P369" s="1" t="s">
        <v>45</v>
      </c>
      <c r="Q369" s="1" t="s">
        <v>45</v>
      </c>
      <c r="R369" s="1" t="s">
        <v>262</v>
      </c>
      <c r="S369" s="1" t="s">
        <v>71</v>
      </c>
      <c r="T369" s="3" t="str">
        <f>Sheet4!H369</f>
        <v xml:space="preserve"> View Map </v>
      </c>
    </row>
    <row r="370" spans="1:20" ht="15" x14ac:dyDescent="0.25">
      <c r="A370" s="1" t="s">
        <v>1606</v>
      </c>
      <c r="B370" s="1" t="s">
        <v>1607</v>
      </c>
      <c r="C370" s="2">
        <v>2018</v>
      </c>
      <c r="D370" s="1" t="s">
        <v>24</v>
      </c>
      <c r="E370" s="2">
        <v>1</v>
      </c>
      <c r="F370" s="1" t="s">
        <v>1608</v>
      </c>
      <c r="G370" s="1"/>
      <c r="H370" s="2">
        <v>0</v>
      </c>
      <c r="I370" s="2">
        <v>90000</v>
      </c>
      <c r="J370" s="1" t="s">
        <v>1609</v>
      </c>
      <c r="K370" s="2">
        <v>90000</v>
      </c>
      <c r="L370" s="1" t="s">
        <v>29</v>
      </c>
      <c r="M370" s="1" t="s">
        <v>134</v>
      </c>
      <c r="N370" s="1" t="s">
        <v>20</v>
      </c>
      <c r="O370" s="1" t="s">
        <v>135</v>
      </c>
      <c r="P370" s="1" t="s">
        <v>20</v>
      </c>
      <c r="Q370" s="1" t="s">
        <v>129</v>
      </c>
      <c r="R370" s="1" t="s">
        <v>419</v>
      </c>
      <c r="S370" s="1" t="s">
        <v>32</v>
      </c>
      <c r="T370" s="3" t="str">
        <f>Sheet4!H370</f>
        <v xml:space="preserve"> View Map </v>
      </c>
    </row>
    <row r="371" spans="1:20" ht="15" x14ac:dyDescent="0.25">
      <c r="A371" s="1" t="s">
        <v>1610</v>
      </c>
      <c r="B371" s="1" t="s">
        <v>1611</v>
      </c>
      <c r="C371" s="2">
        <v>2005</v>
      </c>
      <c r="D371" s="1" t="s">
        <v>24</v>
      </c>
      <c r="E371" s="2">
        <v>1</v>
      </c>
      <c r="F371" s="1" t="s">
        <v>1612</v>
      </c>
      <c r="G371" s="1" t="s">
        <v>426</v>
      </c>
      <c r="H371" s="2">
        <v>4200</v>
      </c>
      <c r="I371" s="2">
        <v>55000</v>
      </c>
      <c r="J371" s="1" t="s">
        <v>1613</v>
      </c>
      <c r="K371" s="2">
        <v>55000</v>
      </c>
      <c r="L371" s="1" t="s">
        <v>29</v>
      </c>
      <c r="M371" s="1" t="s">
        <v>30</v>
      </c>
      <c r="N371" s="1" t="s">
        <v>20</v>
      </c>
      <c r="O371" s="1" t="s">
        <v>31</v>
      </c>
      <c r="P371" s="1" t="s">
        <v>20</v>
      </c>
      <c r="Q371" s="1" t="s">
        <v>33</v>
      </c>
      <c r="R371" s="1" t="s">
        <v>38</v>
      </c>
      <c r="S371" s="1" t="s">
        <v>32</v>
      </c>
      <c r="T371" s="3" t="str">
        <f>Sheet4!H371</f>
        <v xml:space="preserve"> View Map </v>
      </c>
    </row>
    <row r="372" spans="1:20" ht="15" x14ac:dyDescent="0.25">
      <c r="A372" s="1" t="s">
        <v>1614</v>
      </c>
      <c r="B372" s="1" t="s">
        <v>1615</v>
      </c>
      <c r="C372" s="2">
        <v>2005</v>
      </c>
      <c r="D372" s="1" t="s">
        <v>24</v>
      </c>
      <c r="E372" s="2">
        <v>1</v>
      </c>
      <c r="F372" s="1" t="s">
        <v>1616</v>
      </c>
      <c r="G372" s="1" t="s">
        <v>1617</v>
      </c>
      <c r="H372" s="2">
        <v>3666</v>
      </c>
      <c r="I372" s="2">
        <v>42000</v>
      </c>
      <c r="J372" s="1" t="s">
        <v>1618</v>
      </c>
      <c r="K372" s="2">
        <v>42000</v>
      </c>
      <c r="L372" s="1" t="s">
        <v>51</v>
      </c>
      <c r="M372" s="1" t="s">
        <v>159</v>
      </c>
      <c r="N372" s="1" t="s">
        <v>160</v>
      </c>
      <c r="O372" s="1" t="s">
        <v>161</v>
      </c>
      <c r="P372" s="1" t="s">
        <v>153</v>
      </c>
      <c r="Q372" s="1" t="s">
        <v>154</v>
      </c>
      <c r="R372" s="1" t="s">
        <v>136</v>
      </c>
      <c r="S372" s="1" t="s">
        <v>32</v>
      </c>
      <c r="T372" s="3" t="str">
        <f>Sheet4!H372</f>
        <v xml:space="preserve"> View Map </v>
      </c>
    </row>
    <row r="373" spans="1:20" ht="15" x14ac:dyDescent="0.25">
      <c r="A373" s="1" t="s">
        <v>1619</v>
      </c>
      <c r="B373" s="1" t="s">
        <v>1620</v>
      </c>
      <c r="C373" s="2">
        <v>2018</v>
      </c>
      <c r="D373" s="1" t="s">
        <v>24</v>
      </c>
      <c r="E373" s="2">
        <v>1</v>
      </c>
      <c r="F373" s="1" t="s">
        <v>41</v>
      </c>
      <c r="G373" s="1" t="s">
        <v>1621</v>
      </c>
      <c r="H373" s="2">
        <v>1262</v>
      </c>
      <c r="I373" s="2">
        <v>33000</v>
      </c>
      <c r="J373" s="1" t="s">
        <v>1622</v>
      </c>
      <c r="K373" s="2">
        <v>33000</v>
      </c>
      <c r="L373" s="1" t="s">
        <v>29</v>
      </c>
      <c r="M373" s="1" t="s">
        <v>30</v>
      </c>
      <c r="N373" s="1" t="s">
        <v>20</v>
      </c>
      <c r="O373" s="1" t="s">
        <v>31</v>
      </c>
      <c r="P373" s="1" t="s">
        <v>20</v>
      </c>
      <c r="Q373" s="1" t="s">
        <v>33</v>
      </c>
      <c r="R373" s="1" t="s">
        <v>44</v>
      </c>
      <c r="S373" s="1" t="s">
        <v>71</v>
      </c>
      <c r="T373" s="3" t="str">
        <f>Sheet4!H373</f>
        <v xml:space="preserve"> View Map </v>
      </c>
    </row>
    <row r="374" spans="1:20" ht="15" x14ac:dyDescent="0.25">
      <c r="A374" s="1" t="s">
        <v>1623</v>
      </c>
      <c r="B374" s="1" t="s">
        <v>1624</v>
      </c>
      <c r="C374" s="2">
        <v>2021</v>
      </c>
      <c r="D374" s="1" t="s">
        <v>24</v>
      </c>
      <c r="E374" s="2">
        <v>0</v>
      </c>
      <c r="F374" s="1" t="s">
        <v>1625</v>
      </c>
      <c r="G374" s="1"/>
      <c r="H374" s="2">
        <v>4300</v>
      </c>
      <c r="I374" s="2">
        <v>16000</v>
      </c>
      <c r="J374" s="1" t="s">
        <v>1626</v>
      </c>
      <c r="K374" s="1" t="s">
        <v>28</v>
      </c>
      <c r="L374" s="1" t="s">
        <v>29</v>
      </c>
      <c r="M374" s="1" t="s">
        <v>30</v>
      </c>
      <c r="N374" s="1" t="s">
        <v>20</v>
      </c>
      <c r="O374" s="1" t="s">
        <v>31</v>
      </c>
      <c r="P374" s="1" t="s">
        <v>20</v>
      </c>
      <c r="Q374" s="1" t="s">
        <v>33</v>
      </c>
      <c r="R374" s="1" t="s">
        <v>90</v>
      </c>
      <c r="S374" s="1" t="s">
        <v>32</v>
      </c>
      <c r="T374" s="3" t="str">
        <f>Sheet4!H374</f>
        <v xml:space="preserve"> View Map </v>
      </c>
    </row>
    <row r="375" spans="1:20" ht="15" x14ac:dyDescent="0.25">
      <c r="A375" s="1" t="s">
        <v>1627</v>
      </c>
      <c r="B375" s="1" t="s">
        <v>1628</v>
      </c>
      <c r="C375" s="2">
        <v>2005</v>
      </c>
      <c r="D375" s="1" t="s">
        <v>24</v>
      </c>
      <c r="E375" s="2">
        <v>1</v>
      </c>
      <c r="F375" s="1" t="s">
        <v>1629</v>
      </c>
      <c r="G375" s="1" t="s">
        <v>36</v>
      </c>
      <c r="H375" s="2">
        <v>0</v>
      </c>
      <c r="I375" s="2">
        <v>16500</v>
      </c>
      <c r="J375" s="1" t="s">
        <v>1630</v>
      </c>
      <c r="K375" s="2">
        <v>16500</v>
      </c>
      <c r="L375" s="1" t="s">
        <v>29</v>
      </c>
      <c r="M375" s="1" t="s">
        <v>30</v>
      </c>
      <c r="N375" s="1" t="s">
        <v>20</v>
      </c>
      <c r="O375" s="1" t="s">
        <v>31</v>
      </c>
      <c r="P375" s="1" t="s">
        <v>20</v>
      </c>
      <c r="Q375" s="1" t="s">
        <v>33</v>
      </c>
      <c r="R375" s="1" t="s">
        <v>38</v>
      </c>
      <c r="S375" s="1" t="s">
        <v>32</v>
      </c>
      <c r="T375" s="3" t="str">
        <f>Sheet4!H375</f>
        <v xml:space="preserve"> View Map </v>
      </c>
    </row>
    <row r="376" spans="1:20" ht="15" x14ac:dyDescent="0.25">
      <c r="A376" s="1" t="s">
        <v>1631</v>
      </c>
      <c r="B376" s="1" t="s">
        <v>1632</v>
      </c>
      <c r="C376" s="2">
        <v>2005</v>
      </c>
      <c r="D376" s="1" t="s">
        <v>24</v>
      </c>
      <c r="E376" s="2">
        <v>1</v>
      </c>
      <c r="F376" s="1" t="s">
        <v>628</v>
      </c>
      <c r="G376" s="1" t="s">
        <v>1633</v>
      </c>
      <c r="H376" s="2">
        <v>0</v>
      </c>
      <c r="I376" s="2">
        <v>40000</v>
      </c>
      <c r="J376" s="1" t="s">
        <v>1634</v>
      </c>
      <c r="K376" s="2">
        <v>28500</v>
      </c>
      <c r="L376" s="1" t="s">
        <v>29</v>
      </c>
      <c r="M376" s="1" t="s">
        <v>134</v>
      </c>
      <c r="N376" s="1" t="s">
        <v>160</v>
      </c>
      <c r="O376" s="1" t="s">
        <v>582</v>
      </c>
      <c r="P376" s="1" t="s">
        <v>153</v>
      </c>
      <c r="Q376" s="1" t="s">
        <v>153</v>
      </c>
      <c r="R376" s="1" t="s">
        <v>192</v>
      </c>
      <c r="S376" s="1" t="s">
        <v>32</v>
      </c>
      <c r="T376" s="3" t="str">
        <f>Sheet4!H376</f>
        <v xml:space="preserve"> View Map </v>
      </c>
    </row>
    <row r="377" spans="1:20" ht="15" x14ac:dyDescent="0.25">
      <c r="A377" s="1" t="s">
        <v>1635</v>
      </c>
      <c r="B377" s="1" t="s">
        <v>1636</v>
      </c>
      <c r="C377" s="2">
        <v>2023</v>
      </c>
      <c r="D377" s="1" t="s">
        <v>24</v>
      </c>
      <c r="E377" s="2">
        <v>1</v>
      </c>
      <c r="F377" s="1" t="s">
        <v>1636</v>
      </c>
      <c r="G377" s="1" t="s">
        <v>1636</v>
      </c>
      <c r="H377" s="2">
        <v>3200</v>
      </c>
      <c r="I377" s="2">
        <v>35000</v>
      </c>
      <c r="J377" s="1" t="s">
        <v>1637</v>
      </c>
      <c r="K377" s="2">
        <v>35000</v>
      </c>
      <c r="L377" s="1" t="s">
        <v>51</v>
      </c>
      <c r="M377" s="1" t="s">
        <v>52</v>
      </c>
      <c r="N377" s="1" t="s">
        <v>53</v>
      </c>
      <c r="O377" s="1" t="s">
        <v>440</v>
      </c>
      <c r="P377" s="1" t="s">
        <v>45</v>
      </c>
      <c r="Q377" s="1" t="s">
        <v>146</v>
      </c>
      <c r="R377" s="1" t="s">
        <v>343</v>
      </c>
      <c r="S377" s="1" t="s">
        <v>56</v>
      </c>
      <c r="T377" s="3" t="str">
        <f>Sheet4!H377</f>
        <v xml:space="preserve"> View Map </v>
      </c>
    </row>
    <row r="378" spans="1:20" ht="15" x14ac:dyDescent="0.25">
      <c r="A378" s="1" t="s">
        <v>1638</v>
      </c>
      <c r="B378" s="1" t="s">
        <v>1639</v>
      </c>
      <c r="C378" s="2">
        <v>2024</v>
      </c>
      <c r="D378" s="1" t="s">
        <v>24</v>
      </c>
      <c r="E378" s="2">
        <v>1</v>
      </c>
      <c r="F378" s="1" t="s">
        <v>1640</v>
      </c>
      <c r="G378" s="1" t="s">
        <v>1641</v>
      </c>
      <c r="H378" s="2">
        <v>77</v>
      </c>
      <c r="I378" s="2">
        <v>70000</v>
      </c>
      <c r="J378" s="1" t="s">
        <v>1642</v>
      </c>
      <c r="K378" s="2">
        <v>62000</v>
      </c>
      <c r="L378" s="1" t="s">
        <v>51</v>
      </c>
      <c r="M378" s="1" t="s">
        <v>52</v>
      </c>
      <c r="N378" s="1" t="s">
        <v>53</v>
      </c>
      <c r="O378" s="1" t="s">
        <v>440</v>
      </c>
      <c r="P378" s="1" t="s">
        <v>45</v>
      </c>
      <c r="Q378" s="1" t="s">
        <v>146</v>
      </c>
      <c r="R378" s="1" t="s">
        <v>443</v>
      </c>
      <c r="S378" s="1" t="s">
        <v>71</v>
      </c>
      <c r="T378" s="3" t="str">
        <f>Sheet4!H378</f>
        <v xml:space="preserve"> View Map </v>
      </c>
    </row>
    <row r="379" spans="1:20" ht="15" x14ac:dyDescent="0.25">
      <c r="A379" s="1" t="s">
        <v>1643</v>
      </c>
      <c r="B379" s="1" t="s">
        <v>1644</v>
      </c>
      <c r="C379" s="2">
        <v>2005</v>
      </c>
      <c r="D379" s="1" t="s">
        <v>24</v>
      </c>
      <c r="E379" s="2">
        <v>0</v>
      </c>
      <c r="F379" s="1"/>
      <c r="G379" s="1"/>
      <c r="H379" s="2">
        <v>0</v>
      </c>
      <c r="I379" s="2">
        <v>0</v>
      </c>
      <c r="J379" s="1"/>
      <c r="K379" s="1" t="s">
        <v>28</v>
      </c>
      <c r="L379" s="1" t="s">
        <v>68</v>
      </c>
      <c r="M379" s="1" t="s">
        <v>69</v>
      </c>
      <c r="N379" s="1" t="s">
        <v>322</v>
      </c>
      <c r="O379" s="1" t="s">
        <v>28</v>
      </c>
      <c r="P379" s="1" t="s">
        <v>45</v>
      </c>
      <c r="Q379" s="1" t="s">
        <v>28</v>
      </c>
      <c r="R379" s="1" t="s">
        <v>322</v>
      </c>
      <c r="S379" s="1" t="s">
        <v>71</v>
      </c>
      <c r="T379" s="3" t="str">
        <f>Sheet4!H379</f>
        <v xml:space="preserve"> View Map </v>
      </c>
    </row>
    <row r="380" spans="1:20" ht="15" x14ac:dyDescent="0.25">
      <c r="A380" s="1" t="s">
        <v>1645</v>
      </c>
      <c r="B380" s="1" t="s">
        <v>1646</v>
      </c>
      <c r="C380" s="2">
        <v>2005</v>
      </c>
      <c r="D380" s="1" t="s">
        <v>24</v>
      </c>
      <c r="E380" s="2">
        <v>1</v>
      </c>
      <c r="F380" s="1" t="s">
        <v>1647</v>
      </c>
      <c r="G380" s="1" t="s">
        <v>1648</v>
      </c>
      <c r="H380" s="2">
        <v>3500</v>
      </c>
      <c r="I380" s="2">
        <v>24500</v>
      </c>
      <c r="J380" s="1" t="s">
        <v>1649</v>
      </c>
      <c r="K380" s="2">
        <v>24500</v>
      </c>
      <c r="L380" s="1" t="s">
        <v>51</v>
      </c>
      <c r="M380" s="1" t="s">
        <v>52</v>
      </c>
      <c r="N380" s="1" t="s">
        <v>146</v>
      </c>
      <c r="O380" s="1" t="s">
        <v>939</v>
      </c>
      <c r="P380" s="1" t="s">
        <v>45</v>
      </c>
      <c r="Q380" s="1" t="s">
        <v>146</v>
      </c>
      <c r="R380" s="1" t="s">
        <v>343</v>
      </c>
      <c r="S380" s="1" t="s">
        <v>56</v>
      </c>
      <c r="T380" s="3" t="str">
        <f>Sheet4!H380</f>
        <v xml:space="preserve"> View Map </v>
      </c>
    </row>
    <row r="381" spans="1:20" ht="15" x14ac:dyDescent="0.25">
      <c r="A381" s="1" t="s">
        <v>1650</v>
      </c>
      <c r="B381" s="1" t="s">
        <v>1651</v>
      </c>
      <c r="C381" s="2">
        <v>2005</v>
      </c>
      <c r="D381" s="1" t="s">
        <v>24</v>
      </c>
      <c r="E381" s="2">
        <v>0</v>
      </c>
      <c r="F381" s="1"/>
      <c r="G381" s="1"/>
      <c r="H381" s="2">
        <v>0</v>
      </c>
      <c r="I381" s="2">
        <v>0</v>
      </c>
      <c r="J381" s="1"/>
      <c r="K381" s="1" t="s">
        <v>28</v>
      </c>
      <c r="L381" s="1" t="s">
        <v>68</v>
      </c>
      <c r="M381" s="1" t="s">
        <v>69</v>
      </c>
      <c r="N381" s="1" t="s">
        <v>1652</v>
      </c>
      <c r="O381" s="1" t="s">
        <v>28</v>
      </c>
      <c r="P381" s="1" t="s">
        <v>162</v>
      </c>
      <c r="Q381" s="1" t="s">
        <v>162</v>
      </c>
      <c r="R381" s="1" t="s">
        <v>784</v>
      </c>
      <c r="S381" s="1" t="s">
        <v>32</v>
      </c>
      <c r="T381" s="3" t="str">
        <f>Sheet4!H381</f>
        <v xml:space="preserve"> View Map </v>
      </c>
    </row>
    <row r="382" spans="1:20" ht="15" x14ac:dyDescent="0.25">
      <c r="A382" s="1" t="s">
        <v>1653</v>
      </c>
      <c r="B382" s="1" t="s">
        <v>1654</v>
      </c>
      <c r="C382" s="2">
        <v>2005</v>
      </c>
      <c r="D382" s="1" t="s">
        <v>81</v>
      </c>
      <c r="E382" s="2">
        <v>0</v>
      </c>
      <c r="F382" s="1"/>
      <c r="G382" s="1"/>
      <c r="H382" s="2">
        <v>0</v>
      </c>
      <c r="I382" s="2">
        <v>0</v>
      </c>
      <c r="J382" s="1" t="s">
        <v>1655</v>
      </c>
      <c r="K382" s="1" t="s">
        <v>28</v>
      </c>
      <c r="L382" s="1" t="s">
        <v>51</v>
      </c>
      <c r="M382" s="1" t="s">
        <v>52</v>
      </c>
      <c r="N382" s="1" t="s">
        <v>146</v>
      </c>
      <c r="O382" s="1" t="s">
        <v>28</v>
      </c>
      <c r="P382" s="1" t="s">
        <v>45</v>
      </c>
      <c r="Q382" s="1" t="s">
        <v>146</v>
      </c>
      <c r="R382" s="1" t="s">
        <v>343</v>
      </c>
      <c r="S382" s="1" t="s">
        <v>56</v>
      </c>
      <c r="T382" s="3" t="str">
        <f>Sheet4!H382</f>
        <v xml:space="preserve"> View Map </v>
      </c>
    </row>
    <row r="383" spans="1:20" ht="15" x14ac:dyDescent="0.25">
      <c r="A383" s="1" t="s">
        <v>1656</v>
      </c>
      <c r="B383" s="1" t="s">
        <v>1657</v>
      </c>
      <c r="C383" s="2">
        <v>2005</v>
      </c>
      <c r="D383" s="1" t="s">
        <v>24</v>
      </c>
      <c r="E383" s="2">
        <v>1</v>
      </c>
      <c r="F383" s="1" t="s">
        <v>1658</v>
      </c>
      <c r="G383" s="1"/>
      <c r="H383" s="2">
        <v>4980</v>
      </c>
      <c r="I383" s="2">
        <v>90000</v>
      </c>
      <c r="J383" s="1" t="s">
        <v>1659</v>
      </c>
      <c r="K383" s="2">
        <v>90000</v>
      </c>
      <c r="L383" s="1" t="s">
        <v>29</v>
      </c>
      <c r="M383" s="1" t="s">
        <v>134</v>
      </c>
      <c r="N383" s="1" t="s">
        <v>20</v>
      </c>
      <c r="O383" s="1" t="s">
        <v>135</v>
      </c>
      <c r="P383" s="1" t="s">
        <v>20</v>
      </c>
      <c r="Q383" s="1" t="s">
        <v>129</v>
      </c>
      <c r="R383" s="1" t="s">
        <v>136</v>
      </c>
      <c r="S383" s="1" t="s">
        <v>32</v>
      </c>
      <c r="T383" s="3" t="str">
        <f>Sheet4!H383</f>
        <v xml:space="preserve"> View Map </v>
      </c>
    </row>
    <row r="384" spans="1:20" ht="15" x14ac:dyDescent="0.25">
      <c r="A384" s="1" t="s">
        <v>1660</v>
      </c>
      <c r="B384" s="1" t="s">
        <v>1661</v>
      </c>
      <c r="C384" s="2">
        <v>2019</v>
      </c>
      <c r="D384" s="1" t="s">
        <v>24</v>
      </c>
      <c r="E384" s="2">
        <v>0</v>
      </c>
      <c r="F384" s="1" t="s">
        <v>439</v>
      </c>
      <c r="G384" s="1" t="s">
        <v>439</v>
      </c>
      <c r="H384" s="2">
        <v>1200</v>
      </c>
      <c r="I384" s="2">
        <v>30000</v>
      </c>
      <c r="J384" s="1" t="s">
        <v>1662</v>
      </c>
      <c r="K384" s="2">
        <v>30000</v>
      </c>
      <c r="L384" s="1" t="s">
        <v>51</v>
      </c>
      <c r="M384" s="1" t="s">
        <v>52</v>
      </c>
      <c r="N384" s="1" t="s">
        <v>53</v>
      </c>
      <c r="O384" s="1" t="s">
        <v>62</v>
      </c>
      <c r="P384" s="1" t="s">
        <v>45</v>
      </c>
      <c r="Q384" s="1" t="s">
        <v>46</v>
      </c>
      <c r="R384" s="1" t="s">
        <v>55</v>
      </c>
      <c r="S384" s="1" t="s">
        <v>71</v>
      </c>
      <c r="T384" s="3" t="str">
        <f>Sheet4!H384</f>
        <v xml:space="preserve"> View Map </v>
      </c>
    </row>
    <row r="385" spans="1:20" ht="15" x14ac:dyDescent="0.25">
      <c r="A385" s="1" t="s">
        <v>1663</v>
      </c>
      <c r="B385" s="1" t="s">
        <v>1664</v>
      </c>
      <c r="C385" s="2">
        <v>0</v>
      </c>
      <c r="D385" s="1" t="s">
        <v>24</v>
      </c>
      <c r="E385" s="2">
        <v>0</v>
      </c>
      <c r="F385" s="1" t="s">
        <v>1664</v>
      </c>
      <c r="G385" s="1" t="s">
        <v>1664</v>
      </c>
      <c r="H385" s="2">
        <v>0</v>
      </c>
      <c r="I385" s="2">
        <v>67000</v>
      </c>
      <c r="J385" s="1" t="s">
        <v>1665</v>
      </c>
      <c r="K385" s="2">
        <v>67000</v>
      </c>
      <c r="L385" s="1" t="s">
        <v>68</v>
      </c>
      <c r="M385" s="1" t="s">
        <v>69</v>
      </c>
      <c r="N385" s="1" t="s">
        <v>72</v>
      </c>
      <c r="O385" s="1" t="s">
        <v>644</v>
      </c>
      <c r="P385" s="1" t="s">
        <v>72</v>
      </c>
      <c r="Q385" s="1" t="s">
        <v>811</v>
      </c>
      <c r="R385" s="1" t="s">
        <v>645</v>
      </c>
      <c r="S385" s="1" t="s">
        <v>32</v>
      </c>
      <c r="T385" s="3" t="str">
        <f>Sheet4!H385</f>
        <v xml:space="preserve"> View Map </v>
      </c>
    </row>
    <row r="386" spans="1:20" ht="15" x14ac:dyDescent="0.25">
      <c r="A386" s="1" t="s">
        <v>1666</v>
      </c>
      <c r="B386" s="1" t="s">
        <v>1667</v>
      </c>
      <c r="C386" s="2">
        <v>2005</v>
      </c>
      <c r="D386" s="1" t="s">
        <v>24</v>
      </c>
      <c r="E386" s="2">
        <v>1</v>
      </c>
      <c r="F386" s="1" t="s">
        <v>1668</v>
      </c>
      <c r="G386" s="1"/>
      <c r="H386" s="2">
        <v>4500</v>
      </c>
      <c r="I386" s="2">
        <v>35000</v>
      </c>
      <c r="J386" s="1" t="s">
        <v>1669</v>
      </c>
      <c r="K386" s="2">
        <v>35000</v>
      </c>
      <c r="L386" s="1" t="s">
        <v>29</v>
      </c>
      <c r="M386" s="1" t="s">
        <v>134</v>
      </c>
      <c r="N386" s="1" t="s">
        <v>160</v>
      </c>
      <c r="O386" s="1" t="s">
        <v>161</v>
      </c>
      <c r="P386" s="1" t="s">
        <v>153</v>
      </c>
      <c r="Q386" s="1" t="s">
        <v>154</v>
      </c>
      <c r="R386" s="1" t="s">
        <v>136</v>
      </c>
      <c r="S386" s="1" t="s">
        <v>32</v>
      </c>
      <c r="T386" s="3" t="str">
        <f>Sheet4!H386</f>
        <v xml:space="preserve"> View Map </v>
      </c>
    </row>
    <row r="387" spans="1:20" ht="15" x14ac:dyDescent="0.25">
      <c r="A387" s="1" t="s">
        <v>1670</v>
      </c>
      <c r="B387" s="1" t="s">
        <v>1671</v>
      </c>
      <c r="C387" s="2">
        <v>2005</v>
      </c>
      <c r="D387" s="1" t="s">
        <v>24</v>
      </c>
      <c r="E387" s="2">
        <v>0</v>
      </c>
      <c r="F387" s="1"/>
      <c r="G387" s="1" t="s">
        <v>1672</v>
      </c>
      <c r="H387" s="2">
        <v>50</v>
      </c>
      <c r="I387" s="2">
        <v>50000</v>
      </c>
      <c r="J387" s="1" t="s">
        <v>1672</v>
      </c>
      <c r="K387" s="1" t="s">
        <v>28</v>
      </c>
      <c r="L387" s="1" t="s">
        <v>68</v>
      </c>
      <c r="M387" s="1" t="s">
        <v>69</v>
      </c>
      <c r="N387" s="1" t="s">
        <v>275</v>
      </c>
      <c r="O387" s="1" t="s">
        <v>1673</v>
      </c>
      <c r="P387" s="1" t="s">
        <v>275</v>
      </c>
      <c r="Q387" s="1" t="s">
        <v>276</v>
      </c>
      <c r="R387" s="1" t="s">
        <v>275</v>
      </c>
      <c r="S387" s="1" t="s">
        <v>71</v>
      </c>
      <c r="T387" s="3" t="str">
        <f>Sheet4!H387</f>
        <v xml:space="preserve"> View Map </v>
      </c>
    </row>
    <row r="388" spans="1:20" ht="15" x14ac:dyDescent="0.25">
      <c r="A388" s="1" t="s">
        <v>1674</v>
      </c>
      <c r="B388" s="1" t="s">
        <v>1675</v>
      </c>
      <c r="C388" s="2">
        <v>0</v>
      </c>
      <c r="D388" s="1" t="s">
        <v>24</v>
      </c>
      <c r="E388" s="2">
        <v>1</v>
      </c>
      <c r="F388" s="1" t="s">
        <v>1676</v>
      </c>
      <c r="G388" s="1"/>
      <c r="H388" s="2">
        <v>0</v>
      </c>
      <c r="I388" s="2">
        <v>28000</v>
      </c>
      <c r="J388" s="1" t="s">
        <v>1677</v>
      </c>
      <c r="K388" s="1" t="s">
        <v>28</v>
      </c>
      <c r="L388" s="1" t="s">
        <v>68</v>
      </c>
      <c r="M388" s="1" t="s">
        <v>69</v>
      </c>
      <c r="N388" s="1" t="s">
        <v>275</v>
      </c>
      <c r="O388" s="1" t="s">
        <v>297</v>
      </c>
      <c r="P388" s="1" t="s">
        <v>275</v>
      </c>
      <c r="Q388" s="1" t="s">
        <v>276</v>
      </c>
      <c r="R388" s="1" t="s">
        <v>275</v>
      </c>
      <c r="S388" s="1" t="s">
        <v>71</v>
      </c>
      <c r="T388" s="3" t="str">
        <f>Sheet4!H388</f>
        <v xml:space="preserve"> View Map </v>
      </c>
    </row>
    <row r="389" spans="1:20" ht="15" x14ac:dyDescent="0.25">
      <c r="A389" s="1" t="s">
        <v>1678</v>
      </c>
      <c r="B389" s="1" t="s">
        <v>1679</v>
      </c>
      <c r="C389" s="2">
        <v>2017</v>
      </c>
      <c r="D389" s="1" t="s">
        <v>24</v>
      </c>
      <c r="E389" s="2">
        <v>1</v>
      </c>
      <c r="F389" s="1" t="s">
        <v>1680</v>
      </c>
      <c r="G389" s="1" t="s">
        <v>1681</v>
      </c>
      <c r="H389" s="2">
        <v>1300</v>
      </c>
      <c r="I389" s="2">
        <v>60000</v>
      </c>
      <c r="J389" s="1" t="s">
        <v>1682</v>
      </c>
      <c r="K389" s="2">
        <v>60000</v>
      </c>
      <c r="L389" s="1" t="s">
        <v>51</v>
      </c>
      <c r="M389" s="1" t="s">
        <v>159</v>
      </c>
      <c r="N389" s="1" t="s">
        <v>160</v>
      </c>
      <c r="O389" s="1" t="s">
        <v>582</v>
      </c>
      <c r="P389" s="1" t="s">
        <v>153</v>
      </c>
      <c r="Q389" s="1" t="s">
        <v>153</v>
      </c>
      <c r="R389" s="1" t="s">
        <v>192</v>
      </c>
      <c r="S389" s="1" t="s">
        <v>71</v>
      </c>
      <c r="T389" s="3" t="str">
        <f>Sheet4!H389</f>
        <v xml:space="preserve"> View Map </v>
      </c>
    </row>
    <row r="390" spans="1:20" ht="15" x14ac:dyDescent="0.25">
      <c r="A390" s="1" t="s">
        <v>1683</v>
      </c>
      <c r="B390" s="1" t="s">
        <v>1684</v>
      </c>
      <c r="C390" s="2">
        <v>2024</v>
      </c>
      <c r="D390" s="1" t="s">
        <v>24</v>
      </c>
      <c r="E390" s="2">
        <v>1</v>
      </c>
      <c r="F390" s="1" t="s">
        <v>1685</v>
      </c>
      <c r="G390" s="1" t="s">
        <v>1686</v>
      </c>
      <c r="H390" s="2">
        <v>80</v>
      </c>
      <c r="I390" s="2">
        <v>25000</v>
      </c>
      <c r="J390" s="1" t="s">
        <v>1687</v>
      </c>
      <c r="K390" s="2">
        <v>25000</v>
      </c>
      <c r="L390" s="1" t="s">
        <v>68</v>
      </c>
      <c r="M390" s="1" t="s">
        <v>69</v>
      </c>
      <c r="N390" s="1" t="s">
        <v>275</v>
      </c>
      <c r="O390" s="1" t="s">
        <v>1077</v>
      </c>
      <c r="P390" s="1" t="s">
        <v>304</v>
      </c>
      <c r="Q390" s="1" t="s">
        <v>386</v>
      </c>
      <c r="R390" s="1" t="s">
        <v>275</v>
      </c>
      <c r="S390" s="1" t="s">
        <v>71</v>
      </c>
      <c r="T390" s="3" t="str">
        <f>Sheet4!H390</f>
        <v xml:space="preserve"> View Map </v>
      </c>
    </row>
    <row r="391" spans="1:20" ht="15" x14ac:dyDescent="0.25">
      <c r="A391" s="1" t="s">
        <v>1688</v>
      </c>
      <c r="B391" s="1" t="s">
        <v>1689</v>
      </c>
      <c r="C391" s="2">
        <v>2005</v>
      </c>
      <c r="D391" s="1" t="s">
        <v>24</v>
      </c>
      <c r="E391" s="2">
        <v>0</v>
      </c>
      <c r="F391" s="1"/>
      <c r="G391" s="1"/>
      <c r="H391" s="2">
        <v>0</v>
      </c>
      <c r="I391" s="2">
        <v>0</v>
      </c>
      <c r="J391" s="1" t="s">
        <v>1690</v>
      </c>
      <c r="K391" s="1" t="s">
        <v>28</v>
      </c>
      <c r="L391" s="1" t="s">
        <v>68</v>
      </c>
      <c r="M391" s="1" t="s">
        <v>69</v>
      </c>
      <c r="N391" s="1" t="s">
        <v>275</v>
      </c>
      <c r="O391" s="1" t="s">
        <v>1673</v>
      </c>
      <c r="P391" s="1" t="s">
        <v>275</v>
      </c>
      <c r="Q391" s="1" t="s">
        <v>276</v>
      </c>
      <c r="R391" s="1" t="s">
        <v>275</v>
      </c>
      <c r="S391" s="1" t="s">
        <v>71</v>
      </c>
      <c r="T391" s="3" t="str">
        <f>Sheet4!H391</f>
        <v xml:space="preserve"> View Map </v>
      </c>
    </row>
    <row r="392" spans="1:20" ht="15" x14ac:dyDescent="0.25">
      <c r="A392" s="1" t="s">
        <v>1691</v>
      </c>
      <c r="B392" s="1" t="s">
        <v>1692</v>
      </c>
      <c r="C392" s="2">
        <v>2005</v>
      </c>
      <c r="D392" s="1" t="s">
        <v>24</v>
      </c>
      <c r="E392" s="2">
        <v>1</v>
      </c>
      <c r="F392" s="1" t="s">
        <v>1693</v>
      </c>
      <c r="G392" s="1"/>
      <c r="H392" s="2">
        <v>4550</v>
      </c>
      <c r="I392" s="2">
        <v>25000</v>
      </c>
      <c r="J392" s="1" t="s">
        <v>1694</v>
      </c>
      <c r="K392" s="2">
        <v>25000</v>
      </c>
      <c r="L392" s="1" t="s">
        <v>29</v>
      </c>
      <c r="M392" s="1" t="s">
        <v>30</v>
      </c>
      <c r="N392" s="1" t="s">
        <v>20</v>
      </c>
      <c r="O392" s="1" t="s">
        <v>173</v>
      </c>
      <c r="P392" s="1" t="s">
        <v>20</v>
      </c>
      <c r="Q392" s="1" t="s">
        <v>179</v>
      </c>
      <c r="R392" s="1" t="s">
        <v>259</v>
      </c>
      <c r="S392" s="1" t="s">
        <v>32</v>
      </c>
      <c r="T392" s="3" t="str">
        <f>Sheet4!H392</f>
        <v xml:space="preserve"> View Map </v>
      </c>
    </row>
    <row r="393" spans="1:20" ht="15" x14ac:dyDescent="0.25">
      <c r="A393" s="1" t="s">
        <v>1695</v>
      </c>
      <c r="B393" s="1" t="s">
        <v>1696</v>
      </c>
      <c r="C393" s="2">
        <v>0</v>
      </c>
      <c r="D393" s="1" t="s">
        <v>24</v>
      </c>
      <c r="E393" s="2">
        <v>1</v>
      </c>
      <c r="F393" s="1" t="s">
        <v>1697</v>
      </c>
      <c r="G393" s="1"/>
      <c r="H393" s="2">
        <v>4635</v>
      </c>
      <c r="I393" s="2">
        <v>40500</v>
      </c>
      <c r="J393" s="1" t="s">
        <v>1698</v>
      </c>
      <c r="K393" s="2">
        <v>40500</v>
      </c>
      <c r="L393" s="1" t="s">
        <v>29</v>
      </c>
      <c r="M393" s="1" t="s">
        <v>30</v>
      </c>
      <c r="N393" s="1" t="s">
        <v>20</v>
      </c>
      <c r="O393" s="1" t="s">
        <v>173</v>
      </c>
      <c r="P393" s="1" t="s">
        <v>20</v>
      </c>
      <c r="Q393" s="1" t="s">
        <v>179</v>
      </c>
      <c r="R393" s="1" t="s">
        <v>174</v>
      </c>
      <c r="S393" s="1" t="s">
        <v>32</v>
      </c>
      <c r="T393" s="3" t="str">
        <f>Sheet4!H393</f>
        <v xml:space="preserve"> View Map </v>
      </c>
    </row>
    <row r="394" spans="1:20" ht="15" x14ac:dyDescent="0.25">
      <c r="A394" s="1" t="s">
        <v>1699</v>
      </c>
      <c r="B394" s="1" t="s">
        <v>1700</v>
      </c>
      <c r="C394" s="2">
        <v>2021</v>
      </c>
      <c r="D394" s="1" t="s">
        <v>24</v>
      </c>
      <c r="E394" s="2">
        <v>1</v>
      </c>
      <c r="F394" s="1" t="s">
        <v>1701</v>
      </c>
      <c r="G394" s="1"/>
      <c r="H394" s="2">
        <v>1463</v>
      </c>
      <c r="I394" s="2">
        <v>55000</v>
      </c>
      <c r="J394" s="1" t="s">
        <v>1702</v>
      </c>
      <c r="K394" s="2">
        <v>55000</v>
      </c>
      <c r="L394" s="1" t="s">
        <v>29</v>
      </c>
      <c r="M394" s="1" t="s">
        <v>30</v>
      </c>
      <c r="N394" s="1" t="s">
        <v>20</v>
      </c>
      <c r="O394" s="1" t="s">
        <v>31</v>
      </c>
      <c r="P394" s="1" t="s">
        <v>20</v>
      </c>
      <c r="Q394" s="1" t="s">
        <v>33</v>
      </c>
      <c r="R394" s="1" t="s">
        <v>38</v>
      </c>
      <c r="S394" s="1" t="s">
        <v>32</v>
      </c>
      <c r="T394" s="3" t="str">
        <f>Sheet4!H394</f>
        <v xml:space="preserve"> View Map </v>
      </c>
    </row>
    <row r="395" spans="1:20" ht="15" x14ac:dyDescent="0.25">
      <c r="A395" s="1" t="s">
        <v>1703</v>
      </c>
      <c r="B395" s="1" t="s">
        <v>1704</v>
      </c>
      <c r="C395" s="2">
        <v>2005</v>
      </c>
      <c r="D395" s="1" t="s">
        <v>24</v>
      </c>
      <c r="E395" s="2">
        <v>1</v>
      </c>
      <c r="F395" s="1" t="s">
        <v>922</v>
      </c>
      <c r="G395" s="1"/>
      <c r="H395" s="2">
        <v>4500</v>
      </c>
      <c r="I395" s="2">
        <v>56000</v>
      </c>
      <c r="J395" s="1" t="s">
        <v>1705</v>
      </c>
      <c r="K395" s="2">
        <v>56000</v>
      </c>
      <c r="L395" s="1" t="s">
        <v>29</v>
      </c>
      <c r="M395" s="1" t="s">
        <v>30</v>
      </c>
      <c r="N395" s="1" t="s">
        <v>20</v>
      </c>
      <c r="O395" s="1" t="s">
        <v>31</v>
      </c>
      <c r="P395" s="1" t="s">
        <v>20</v>
      </c>
      <c r="Q395" s="1" t="s">
        <v>33</v>
      </c>
      <c r="R395" s="1" t="s">
        <v>90</v>
      </c>
      <c r="S395" s="1" t="s">
        <v>32</v>
      </c>
      <c r="T395" s="3" t="str">
        <f>Sheet4!H395</f>
        <v xml:space="preserve"> View Map </v>
      </c>
    </row>
    <row r="396" spans="1:20" ht="15" x14ac:dyDescent="0.25">
      <c r="A396" s="1" t="s">
        <v>1706</v>
      </c>
      <c r="B396" s="1" t="s">
        <v>1707</v>
      </c>
      <c r="C396" s="2">
        <v>2005</v>
      </c>
      <c r="D396" s="1" t="s">
        <v>24</v>
      </c>
      <c r="E396" s="2">
        <v>1</v>
      </c>
      <c r="F396" s="1" t="s">
        <v>1708</v>
      </c>
      <c r="G396" s="1"/>
      <c r="H396" s="2">
        <v>0</v>
      </c>
      <c r="I396" s="2">
        <v>70000</v>
      </c>
      <c r="J396" s="1" t="s">
        <v>1709</v>
      </c>
      <c r="K396" s="2">
        <v>48000</v>
      </c>
      <c r="L396" s="1" t="s">
        <v>29</v>
      </c>
      <c r="M396" s="1" t="s">
        <v>30</v>
      </c>
      <c r="N396" s="1" t="s">
        <v>20</v>
      </c>
      <c r="O396" s="1" t="s">
        <v>31</v>
      </c>
      <c r="P396" s="1" t="s">
        <v>20</v>
      </c>
      <c r="Q396" s="1" t="s">
        <v>33</v>
      </c>
      <c r="R396" s="1" t="s">
        <v>38</v>
      </c>
      <c r="S396" s="1" t="s">
        <v>32</v>
      </c>
      <c r="T396" s="3" t="str">
        <f>Sheet4!H396</f>
        <v xml:space="preserve"> View Map </v>
      </c>
    </row>
    <row r="397" spans="1:20" ht="15" x14ac:dyDescent="0.25">
      <c r="A397" s="1" t="s">
        <v>1710</v>
      </c>
      <c r="B397" s="1" t="s">
        <v>1711</v>
      </c>
      <c r="C397" s="2">
        <v>2005</v>
      </c>
      <c r="D397" s="1" t="s">
        <v>24</v>
      </c>
      <c r="E397" s="2">
        <v>1</v>
      </c>
      <c r="F397" s="1" t="s">
        <v>1712</v>
      </c>
      <c r="G397" s="1" t="s">
        <v>1713</v>
      </c>
      <c r="H397" s="2">
        <v>5000</v>
      </c>
      <c r="I397" s="2">
        <v>60000</v>
      </c>
      <c r="J397" s="1" t="s">
        <v>1714</v>
      </c>
      <c r="K397" s="2">
        <v>25750</v>
      </c>
      <c r="L397" s="1" t="s">
        <v>29</v>
      </c>
      <c r="M397" s="1" t="s">
        <v>134</v>
      </c>
      <c r="N397" s="1" t="s">
        <v>160</v>
      </c>
      <c r="O397" s="1" t="s">
        <v>582</v>
      </c>
      <c r="P397" s="1" t="s">
        <v>153</v>
      </c>
      <c r="Q397" s="1" t="s">
        <v>153</v>
      </c>
      <c r="R397" s="1" t="s">
        <v>192</v>
      </c>
      <c r="S397" s="1" t="s">
        <v>32</v>
      </c>
      <c r="T397" s="3" t="str">
        <f>Sheet4!H397</f>
        <v xml:space="preserve"> View Map </v>
      </c>
    </row>
    <row r="398" spans="1:20" ht="15" x14ac:dyDescent="0.25">
      <c r="A398" s="1" t="s">
        <v>1715</v>
      </c>
      <c r="B398" s="1" t="s">
        <v>1716</v>
      </c>
      <c r="C398" s="2">
        <v>2021</v>
      </c>
      <c r="D398" s="1" t="s">
        <v>24</v>
      </c>
      <c r="E398" s="2">
        <v>0</v>
      </c>
      <c r="F398" s="1" t="s">
        <v>28</v>
      </c>
      <c r="G398" s="1"/>
      <c r="H398" s="2">
        <v>0</v>
      </c>
      <c r="I398" s="2">
        <v>0</v>
      </c>
      <c r="J398" s="1" t="s">
        <v>1717</v>
      </c>
      <c r="K398" s="1" t="s">
        <v>28</v>
      </c>
      <c r="L398" s="1" t="s">
        <v>29</v>
      </c>
      <c r="M398" s="1" t="s">
        <v>134</v>
      </c>
      <c r="N398" s="1" t="s">
        <v>20</v>
      </c>
      <c r="O398" s="1" t="s">
        <v>28</v>
      </c>
      <c r="P398" s="1" t="s">
        <v>45</v>
      </c>
      <c r="Q398" s="1" t="s">
        <v>45</v>
      </c>
      <c r="R398" s="1" t="s">
        <v>419</v>
      </c>
      <c r="S398" s="1" t="s">
        <v>32</v>
      </c>
      <c r="T398" s="3" t="str">
        <f>Sheet4!H398</f>
        <v xml:space="preserve"> View Map </v>
      </c>
    </row>
    <row r="399" spans="1:20" ht="15" x14ac:dyDescent="0.25">
      <c r="A399" s="1" t="s">
        <v>1718</v>
      </c>
      <c r="B399" s="1" t="s">
        <v>1719</v>
      </c>
      <c r="C399" s="2">
        <v>2005</v>
      </c>
      <c r="D399" s="1" t="s">
        <v>24</v>
      </c>
      <c r="E399" s="2">
        <v>1</v>
      </c>
      <c r="F399" s="1" t="s">
        <v>1720</v>
      </c>
      <c r="G399" s="1" t="s">
        <v>649</v>
      </c>
      <c r="H399" s="2">
        <v>0</v>
      </c>
      <c r="I399" s="2">
        <v>51800</v>
      </c>
      <c r="J399" s="1" t="s">
        <v>1721</v>
      </c>
      <c r="K399" s="2">
        <v>51800</v>
      </c>
      <c r="L399" s="1" t="s">
        <v>29</v>
      </c>
      <c r="M399" s="1" t="s">
        <v>30</v>
      </c>
      <c r="N399" s="1" t="s">
        <v>20</v>
      </c>
      <c r="O399" s="1" t="s">
        <v>31</v>
      </c>
      <c r="P399" s="1" t="s">
        <v>20</v>
      </c>
      <c r="Q399" s="1" t="s">
        <v>33</v>
      </c>
      <c r="R399" s="1" t="s">
        <v>38</v>
      </c>
      <c r="S399" s="1" t="s">
        <v>32</v>
      </c>
      <c r="T399" s="3" t="str">
        <f>Sheet4!H399</f>
        <v xml:space="preserve"> View Map </v>
      </c>
    </row>
    <row r="400" spans="1:20" ht="15" x14ac:dyDescent="0.25">
      <c r="A400" s="1" t="s">
        <v>1722</v>
      </c>
      <c r="B400" s="1" t="s">
        <v>1723</v>
      </c>
      <c r="C400" s="2">
        <v>2005</v>
      </c>
      <c r="D400" s="1" t="s">
        <v>24</v>
      </c>
      <c r="E400" s="2">
        <v>1</v>
      </c>
      <c r="F400" s="1"/>
      <c r="G400" s="1" t="s">
        <v>1724</v>
      </c>
      <c r="H400" s="2">
        <v>720</v>
      </c>
      <c r="I400" s="2">
        <v>54000</v>
      </c>
      <c r="J400" s="1" t="s">
        <v>1725</v>
      </c>
      <c r="K400" s="2">
        <v>54000</v>
      </c>
      <c r="L400" s="1" t="s">
        <v>68</v>
      </c>
      <c r="M400" s="1" t="s">
        <v>69</v>
      </c>
      <c r="N400" s="1" t="s">
        <v>162</v>
      </c>
      <c r="O400" s="1" t="s">
        <v>28</v>
      </c>
      <c r="P400" s="1" t="s">
        <v>162</v>
      </c>
      <c r="Q400" s="1" t="s">
        <v>355</v>
      </c>
      <c r="R400" s="1" t="s">
        <v>162</v>
      </c>
      <c r="S400" s="1" t="s">
        <v>32</v>
      </c>
      <c r="T400" s="3" t="str">
        <f>Sheet4!H400</f>
        <v xml:space="preserve"> View Map </v>
      </c>
    </row>
    <row r="401" spans="1:20" ht="15" x14ac:dyDescent="0.25">
      <c r="A401" s="1" t="s">
        <v>1726</v>
      </c>
      <c r="B401" s="1" t="s">
        <v>1727</v>
      </c>
      <c r="C401" s="2">
        <v>2021</v>
      </c>
      <c r="D401" s="1" t="s">
        <v>24</v>
      </c>
      <c r="E401" s="2">
        <v>0</v>
      </c>
      <c r="F401" s="1"/>
      <c r="G401" s="1" t="s">
        <v>1728</v>
      </c>
      <c r="H401" s="2">
        <v>3000</v>
      </c>
      <c r="I401" s="2">
        <v>0</v>
      </c>
      <c r="J401" s="1" t="s">
        <v>1729</v>
      </c>
      <c r="K401" s="1" t="s">
        <v>28</v>
      </c>
      <c r="L401" s="1" t="s">
        <v>51</v>
      </c>
      <c r="M401" s="1" t="s">
        <v>52</v>
      </c>
      <c r="N401" s="1" t="s">
        <v>53</v>
      </c>
      <c r="O401" s="1" t="s">
        <v>84</v>
      </c>
      <c r="P401" s="1" t="s">
        <v>45</v>
      </c>
      <c r="Q401" s="1" t="s">
        <v>332</v>
      </c>
      <c r="R401" s="1" t="s">
        <v>85</v>
      </c>
      <c r="S401" s="1" t="s">
        <v>71</v>
      </c>
      <c r="T401" s="3" t="str">
        <f>Sheet4!H401</f>
        <v xml:space="preserve"> View Map </v>
      </c>
    </row>
    <row r="402" spans="1:20" ht="15" x14ac:dyDescent="0.25">
      <c r="A402" s="1" t="s">
        <v>1730</v>
      </c>
      <c r="B402" s="1" t="s">
        <v>1731</v>
      </c>
      <c r="C402" s="2">
        <v>2005</v>
      </c>
      <c r="D402" s="1" t="s">
        <v>24</v>
      </c>
      <c r="E402" s="2">
        <v>1</v>
      </c>
      <c r="F402" s="1" t="s">
        <v>969</v>
      </c>
      <c r="G402" s="1" t="s">
        <v>649</v>
      </c>
      <c r="H402" s="2">
        <v>5800</v>
      </c>
      <c r="I402" s="2">
        <v>33000</v>
      </c>
      <c r="J402" s="1" t="s">
        <v>1732</v>
      </c>
      <c r="K402" s="2">
        <v>33000</v>
      </c>
      <c r="L402" s="1" t="s">
        <v>29</v>
      </c>
      <c r="M402" s="1" t="s">
        <v>30</v>
      </c>
      <c r="N402" s="1" t="s">
        <v>20</v>
      </c>
      <c r="O402" s="1" t="s">
        <v>31</v>
      </c>
      <c r="P402" s="1" t="s">
        <v>20</v>
      </c>
      <c r="Q402" s="1" t="s">
        <v>33</v>
      </c>
      <c r="R402" s="1" t="s">
        <v>38</v>
      </c>
      <c r="S402" s="1" t="s">
        <v>32</v>
      </c>
      <c r="T402" s="3" t="str">
        <f>Sheet4!H402</f>
        <v xml:space="preserve"> View Map </v>
      </c>
    </row>
    <row r="403" spans="1:20" ht="15" x14ac:dyDescent="0.25">
      <c r="A403" s="1" t="s">
        <v>1733</v>
      </c>
      <c r="B403" s="1" t="s">
        <v>1734</v>
      </c>
      <c r="C403" s="2">
        <v>2021</v>
      </c>
      <c r="D403" s="1" t="s">
        <v>24</v>
      </c>
      <c r="E403" s="2">
        <v>1</v>
      </c>
      <c r="F403" s="1" t="s">
        <v>1735</v>
      </c>
      <c r="G403" s="1"/>
      <c r="H403" s="2">
        <v>0</v>
      </c>
      <c r="I403" s="2">
        <v>80000</v>
      </c>
      <c r="J403" s="1" t="s">
        <v>1736</v>
      </c>
      <c r="K403" s="2">
        <v>80000</v>
      </c>
      <c r="L403" s="1" t="s">
        <v>51</v>
      </c>
      <c r="M403" s="1" t="s">
        <v>52</v>
      </c>
      <c r="N403" s="1" t="s">
        <v>20</v>
      </c>
      <c r="O403" s="1" t="s">
        <v>173</v>
      </c>
      <c r="P403" s="1" t="s">
        <v>20</v>
      </c>
      <c r="Q403" s="1" t="s">
        <v>168</v>
      </c>
      <c r="R403" s="1" t="s">
        <v>738</v>
      </c>
      <c r="S403" s="1" t="s">
        <v>32</v>
      </c>
      <c r="T403" s="3" t="str">
        <f>Sheet4!H403</f>
        <v xml:space="preserve"> View Map </v>
      </c>
    </row>
    <row r="404" spans="1:20" ht="15" x14ac:dyDescent="0.25">
      <c r="A404" s="1" t="s">
        <v>1737</v>
      </c>
      <c r="B404" s="1" t="s">
        <v>1738</v>
      </c>
      <c r="C404" s="2">
        <v>0</v>
      </c>
      <c r="D404" s="1" t="s">
        <v>24</v>
      </c>
      <c r="E404" s="2">
        <v>0</v>
      </c>
      <c r="F404" s="1" t="s">
        <v>1739</v>
      </c>
      <c r="G404" s="1" t="s">
        <v>1740</v>
      </c>
      <c r="H404" s="2">
        <v>1060</v>
      </c>
      <c r="I404" s="2">
        <v>0</v>
      </c>
      <c r="J404" s="1" t="s">
        <v>1741</v>
      </c>
      <c r="K404" s="1" t="s">
        <v>28</v>
      </c>
      <c r="L404" s="1" t="s">
        <v>51</v>
      </c>
      <c r="M404" s="1" t="s">
        <v>159</v>
      </c>
      <c r="N404" s="1" t="s">
        <v>20</v>
      </c>
      <c r="O404" s="1" t="s">
        <v>173</v>
      </c>
      <c r="P404" s="1" t="s">
        <v>20</v>
      </c>
      <c r="Q404" s="1" t="s">
        <v>168</v>
      </c>
      <c r="R404" s="1" t="s">
        <v>738</v>
      </c>
      <c r="S404" s="1" t="s">
        <v>71</v>
      </c>
      <c r="T404" s="3" t="str">
        <f>Sheet4!H404</f>
        <v xml:space="preserve"> View Map </v>
      </c>
    </row>
    <row r="405" spans="1:20" ht="15" x14ac:dyDescent="0.25">
      <c r="A405" s="1" t="s">
        <v>1742</v>
      </c>
      <c r="B405" s="1" t="s">
        <v>1743</v>
      </c>
      <c r="C405" s="2">
        <v>2005</v>
      </c>
      <c r="D405" s="1" t="s">
        <v>81</v>
      </c>
      <c r="E405" s="2">
        <v>0</v>
      </c>
      <c r="F405" s="1"/>
      <c r="G405" s="1"/>
      <c r="H405" s="2">
        <v>0</v>
      </c>
      <c r="I405" s="2">
        <v>0</v>
      </c>
      <c r="J405" s="1"/>
      <c r="K405" s="1" t="s">
        <v>28</v>
      </c>
      <c r="L405" s="1" t="s">
        <v>51</v>
      </c>
      <c r="M405" s="1" t="s">
        <v>52</v>
      </c>
      <c r="N405" s="1" t="s">
        <v>53</v>
      </c>
      <c r="O405" s="1" t="s">
        <v>28</v>
      </c>
      <c r="P405" s="1" t="s">
        <v>45</v>
      </c>
      <c r="Q405" s="1" t="s">
        <v>28</v>
      </c>
      <c r="R405" s="1" t="s">
        <v>85</v>
      </c>
      <c r="S405" s="1" t="s">
        <v>71</v>
      </c>
      <c r="T405" s="3" t="str">
        <f>Sheet4!H405</f>
        <v xml:space="preserve"> View Map </v>
      </c>
    </row>
    <row r="406" spans="1:20" ht="15" x14ac:dyDescent="0.25">
      <c r="A406" s="1" t="s">
        <v>1744</v>
      </c>
      <c r="B406" s="1" t="s">
        <v>1745</v>
      </c>
      <c r="C406" s="2">
        <v>2005</v>
      </c>
      <c r="D406" s="1" t="s">
        <v>81</v>
      </c>
      <c r="E406" s="2">
        <v>0</v>
      </c>
      <c r="F406" s="1"/>
      <c r="G406" s="1"/>
      <c r="H406" s="2">
        <v>3400</v>
      </c>
      <c r="I406" s="2">
        <v>0</v>
      </c>
      <c r="J406" s="1" t="s">
        <v>1746</v>
      </c>
      <c r="K406" s="1" t="s">
        <v>28</v>
      </c>
      <c r="L406" s="1" t="s">
        <v>51</v>
      </c>
      <c r="M406" s="1" t="s">
        <v>52</v>
      </c>
      <c r="N406" s="1" t="s">
        <v>53</v>
      </c>
      <c r="O406" s="1" t="s">
        <v>1747</v>
      </c>
      <c r="P406" s="1" t="s">
        <v>45</v>
      </c>
      <c r="Q406" s="1" t="s">
        <v>53</v>
      </c>
      <c r="R406" s="1" t="s">
        <v>343</v>
      </c>
      <c r="S406" s="1" t="s">
        <v>56</v>
      </c>
      <c r="T406" s="3" t="str">
        <f>Sheet4!H406</f>
        <v xml:space="preserve"> View Map </v>
      </c>
    </row>
    <row r="407" spans="1:20" ht="15" x14ac:dyDescent="0.25">
      <c r="A407" s="1" t="s">
        <v>1748</v>
      </c>
      <c r="B407" s="1" t="s">
        <v>1749</v>
      </c>
      <c r="C407" s="2">
        <v>2025</v>
      </c>
      <c r="D407" s="1" t="s">
        <v>24</v>
      </c>
      <c r="E407" s="2">
        <v>1</v>
      </c>
      <c r="F407" s="1" t="s">
        <v>335</v>
      </c>
      <c r="G407" s="1" t="s">
        <v>1750</v>
      </c>
      <c r="H407" s="2">
        <v>500</v>
      </c>
      <c r="I407" s="2">
        <v>20000</v>
      </c>
      <c r="J407" s="1" t="s">
        <v>1751</v>
      </c>
      <c r="K407" s="2">
        <v>20000</v>
      </c>
      <c r="L407" s="1" t="s">
        <v>68</v>
      </c>
      <c r="M407" s="1" t="s">
        <v>69</v>
      </c>
      <c r="N407" s="1" t="s">
        <v>53</v>
      </c>
      <c r="O407" s="1" t="s">
        <v>338</v>
      </c>
      <c r="P407" s="1" t="s">
        <v>45</v>
      </c>
      <c r="Q407" s="1" t="s">
        <v>332</v>
      </c>
      <c r="R407" s="1" t="s">
        <v>128</v>
      </c>
      <c r="S407" s="1" t="s">
        <v>71</v>
      </c>
      <c r="T407" s="3" t="str">
        <f>Sheet4!H407</f>
        <v xml:space="preserve"> View Map </v>
      </c>
    </row>
    <row r="408" spans="1:20" ht="15" x14ac:dyDescent="0.25">
      <c r="A408" s="1" t="s">
        <v>1752</v>
      </c>
      <c r="B408" s="1" t="s">
        <v>1753</v>
      </c>
      <c r="C408" s="2">
        <v>2014</v>
      </c>
      <c r="D408" s="1" t="s">
        <v>24</v>
      </c>
      <c r="E408" s="2">
        <v>1</v>
      </c>
      <c r="F408" s="1" t="s">
        <v>1754</v>
      </c>
      <c r="G408" s="1"/>
      <c r="H408" s="2">
        <v>0</v>
      </c>
      <c r="I408" s="2">
        <v>106000</v>
      </c>
      <c r="J408" s="1" t="s">
        <v>544</v>
      </c>
      <c r="K408" s="2">
        <v>106000</v>
      </c>
      <c r="L408" s="1" t="s">
        <v>68</v>
      </c>
      <c r="M408" s="1" t="s">
        <v>69</v>
      </c>
      <c r="N408" s="1" t="s">
        <v>162</v>
      </c>
      <c r="O408" s="1" t="s">
        <v>374</v>
      </c>
      <c r="P408" s="1" t="s">
        <v>162</v>
      </c>
      <c r="Q408" s="1" t="s">
        <v>162</v>
      </c>
      <c r="R408" s="1" t="s">
        <v>162</v>
      </c>
      <c r="S408" s="1" t="s">
        <v>32</v>
      </c>
      <c r="T408" s="3" t="str">
        <f>Sheet4!H408</f>
        <v xml:space="preserve"> View Map </v>
      </c>
    </row>
    <row r="409" spans="1:20" ht="15" x14ac:dyDescent="0.25">
      <c r="A409" s="1" t="s">
        <v>1755</v>
      </c>
      <c r="B409" s="1" t="s">
        <v>1756</v>
      </c>
      <c r="C409" s="2">
        <v>2005</v>
      </c>
      <c r="D409" s="1" t="s">
        <v>24</v>
      </c>
      <c r="E409" s="2">
        <v>1</v>
      </c>
      <c r="F409" s="1" t="s">
        <v>233</v>
      </c>
      <c r="G409" s="1"/>
      <c r="H409" s="2">
        <v>0</v>
      </c>
      <c r="I409" s="2">
        <v>60000</v>
      </c>
      <c r="J409" s="1" t="s">
        <v>1757</v>
      </c>
      <c r="K409" s="2">
        <v>60000</v>
      </c>
      <c r="L409" s="1" t="s">
        <v>68</v>
      </c>
      <c r="M409" s="1" t="s">
        <v>69</v>
      </c>
      <c r="N409" s="1" t="s">
        <v>72</v>
      </c>
      <c r="O409" s="1" t="s">
        <v>78</v>
      </c>
      <c r="P409" s="1" t="s">
        <v>72</v>
      </c>
      <c r="Q409" s="1" t="s">
        <v>73</v>
      </c>
      <c r="R409" s="1" t="s">
        <v>73</v>
      </c>
      <c r="S409" s="1" t="s">
        <v>32</v>
      </c>
      <c r="T409" s="3" t="str">
        <f>Sheet4!H409</f>
        <v xml:space="preserve"> View Map </v>
      </c>
    </row>
    <row r="410" spans="1:20" ht="15" x14ac:dyDescent="0.25">
      <c r="A410" s="1" t="s">
        <v>1758</v>
      </c>
      <c r="B410" s="1" t="s">
        <v>1759</v>
      </c>
      <c r="C410" s="2">
        <v>2021</v>
      </c>
      <c r="D410" s="1" t="s">
        <v>24</v>
      </c>
      <c r="E410" s="2">
        <v>0</v>
      </c>
      <c r="F410" s="1" t="s">
        <v>1760</v>
      </c>
      <c r="G410" s="1" t="s">
        <v>1761</v>
      </c>
      <c r="H410" s="2">
        <v>0</v>
      </c>
      <c r="I410" s="2">
        <v>0</v>
      </c>
      <c r="J410" s="1" t="s">
        <v>1762</v>
      </c>
      <c r="K410" s="1" t="s">
        <v>28</v>
      </c>
      <c r="L410" s="1" t="s">
        <v>29</v>
      </c>
      <c r="M410" s="1" t="s">
        <v>134</v>
      </c>
      <c r="N410" s="1" t="s">
        <v>160</v>
      </c>
      <c r="O410" s="1" t="s">
        <v>656</v>
      </c>
      <c r="P410" s="1" t="s">
        <v>153</v>
      </c>
      <c r="Q410" s="1" t="s">
        <v>153</v>
      </c>
      <c r="R410" s="1" t="s">
        <v>370</v>
      </c>
      <c r="S410" s="1" t="s">
        <v>32</v>
      </c>
      <c r="T410" s="3" t="str">
        <f>Sheet4!H410</f>
        <v xml:space="preserve"> View Map </v>
      </c>
    </row>
    <row r="411" spans="1:20" ht="15" x14ac:dyDescent="0.25">
      <c r="A411" s="1" t="s">
        <v>1763</v>
      </c>
      <c r="B411" s="1" t="s">
        <v>1764</v>
      </c>
      <c r="C411" s="2">
        <v>2020</v>
      </c>
      <c r="D411" s="1" t="s">
        <v>24</v>
      </c>
      <c r="E411" s="2">
        <v>1</v>
      </c>
      <c r="F411" s="1" t="s">
        <v>1765</v>
      </c>
      <c r="G411" s="1" t="s">
        <v>297</v>
      </c>
      <c r="H411" s="2">
        <v>25</v>
      </c>
      <c r="I411" s="2">
        <v>43000</v>
      </c>
      <c r="J411" s="1" t="s">
        <v>1766</v>
      </c>
      <c r="K411" s="1" t="s">
        <v>28</v>
      </c>
      <c r="L411" s="1" t="s">
        <v>68</v>
      </c>
      <c r="M411" s="1" t="s">
        <v>69</v>
      </c>
      <c r="N411" s="1" t="s">
        <v>275</v>
      </c>
      <c r="O411" s="1" t="s">
        <v>1060</v>
      </c>
      <c r="P411" s="1" t="s">
        <v>275</v>
      </c>
      <c r="Q411" s="1" t="s">
        <v>275</v>
      </c>
      <c r="R411" s="1" t="s">
        <v>275</v>
      </c>
      <c r="S411" s="1" t="s">
        <v>71</v>
      </c>
      <c r="T411" s="3" t="str">
        <f>Sheet4!H411</f>
        <v xml:space="preserve"> View Map </v>
      </c>
    </row>
    <row r="412" spans="1:20" ht="15" x14ac:dyDescent="0.25">
      <c r="A412" s="1" t="s">
        <v>1767</v>
      </c>
      <c r="B412" s="1" t="s">
        <v>1768</v>
      </c>
      <c r="C412" s="2">
        <v>2005</v>
      </c>
      <c r="D412" s="1" t="s">
        <v>24</v>
      </c>
      <c r="E412" s="2">
        <v>0</v>
      </c>
      <c r="F412" s="1" t="s">
        <v>1769</v>
      </c>
      <c r="G412" s="1"/>
      <c r="H412" s="2">
        <v>0</v>
      </c>
      <c r="I412" s="2">
        <v>15000</v>
      </c>
      <c r="J412" s="1" t="s">
        <v>1770</v>
      </c>
      <c r="K412" s="1" t="s">
        <v>28</v>
      </c>
      <c r="L412" s="1" t="s">
        <v>51</v>
      </c>
      <c r="M412" s="1" t="s">
        <v>52</v>
      </c>
      <c r="N412" s="1" t="s">
        <v>162</v>
      </c>
      <c r="O412" s="1" t="s">
        <v>28</v>
      </c>
      <c r="P412" s="1" t="s">
        <v>162</v>
      </c>
      <c r="Q412" s="1" t="s">
        <v>516</v>
      </c>
      <c r="R412" s="1" t="s">
        <v>561</v>
      </c>
      <c r="S412" s="1" t="s">
        <v>32</v>
      </c>
      <c r="T412" s="3" t="str">
        <f>Sheet4!H412</f>
        <v xml:space="preserve"> View Map </v>
      </c>
    </row>
    <row r="413" spans="1:20" ht="15" x14ac:dyDescent="0.25">
      <c r="A413" s="1" t="s">
        <v>1771</v>
      </c>
      <c r="B413" s="1" t="s">
        <v>1772</v>
      </c>
      <c r="C413" s="2">
        <v>1900</v>
      </c>
      <c r="D413" s="1" t="s">
        <v>24</v>
      </c>
      <c r="E413" s="2">
        <v>1</v>
      </c>
      <c r="F413" s="1" t="s">
        <v>1772</v>
      </c>
      <c r="G413" s="1" t="s">
        <v>1773</v>
      </c>
      <c r="H413" s="2">
        <v>580</v>
      </c>
      <c r="I413" s="2">
        <v>31200</v>
      </c>
      <c r="J413" s="1" t="s">
        <v>1774</v>
      </c>
      <c r="K413" s="2">
        <v>31200</v>
      </c>
      <c r="L413" s="1" t="s">
        <v>51</v>
      </c>
      <c r="M413" s="1" t="s">
        <v>52</v>
      </c>
      <c r="N413" s="1" t="s">
        <v>53</v>
      </c>
      <c r="O413" s="1" t="s">
        <v>145</v>
      </c>
      <c r="P413" s="1" t="s">
        <v>45</v>
      </c>
      <c r="Q413" s="1" t="s">
        <v>53</v>
      </c>
      <c r="R413" s="1" t="s">
        <v>105</v>
      </c>
      <c r="S413" s="1" t="s">
        <v>71</v>
      </c>
      <c r="T413" s="3" t="str">
        <f>Sheet4!H413</f>
        <v xml:space="preserve"> View Map </v>
      </c>
    </row>
    <row r="414" spans="1:20" ht="15" x14ac:dyDescent="0.25">
      <c r="A414" s="1" t="s">
        <v>1775</v>
      </c>
      <c r="B414" s="1" t="s">
        <v>1776</v>
      </c>
      <c r="C414" s="2">
        <v>2005</v>
      </c>
      <c r="D414" s="1" t="s">
        <v>24</v>
      </c>
      <c r="E414" s="2">
        <v>0</v>
      </c>
      <c r="F414" s="1"/>
      <c r="G414" s="1" t="s">
        <v>1777</v>
      </c>
      <c r="H414" s="2">
        <v>0</v>
      </c>
      <c r="I414" s="2">
        <v>0</v>
      </c>
      <c r="J414" s="1" t="s">
        <v>1778</v>
      </c>
      <c r="K414" s="1" t="s">
        <v>28</v>
      </c>
      <c r="L414" s="1" t="s">
        <v>68</v>
      </c>
      <c r="M414" s="1" t="s">
        <v>69</v>
      </c>
      <c r="N414" s="1" t="s">
        <v>322</v>
      </c>
      <c r="O414" s="1" t="s">
        <v>28</v>
      </c>
      <c r="P414" s="1" t="s">
        <v>162</v>
      </c>
      <c r="Q414" s="1" t="s">
        <v>316</v>
      </c>
      <c r="R414" s="1" t="s">
        <v>322</v>
      </c>
      <c r="S414" s="1" t="s">
        <v>32</v>
      </c>
      <c r="T414" s="3" t="str">
        <f>Sheet4!H414</f>
        <v xml:space="preserve"> View Map </v>
      </c>
    </row>
    <row r="415" spans="1:20" ht="15" x14ac:dyDescent="0.25">
      <c r="A415" s="1" t="s">
        <v>1779</v>
      </c>
      <c r="B415" s="1" t="s">
        <v>1780</v>
      </c>
      <c r="C415" s="2">
        <v>2005</v>
      </c>
      <c r="D415" s="1" t="s">
        <v>24</v>
      </c>
      <c r="E415" s="2">
        <v>1</v>
      </c>
      <c r="F415" s="1" t="s">
        <v>1781</v>
      </c>
      <c r="G415" s="1"/>
      <c r="H415" s="2">
        <v>0</v>
      </c>
      <c r="I415" s="2">
        <v>60000</v>
      </c>
      <c r="J415" s="1" t="s">
        <v>1782</v>
      </c>
      <c r="K415" s="2">
        <v>40000</v>
      </c>
      <c r="L415" s="1" t="s">
        <v>29</v>
      </c>
      <c r="M415" s="1" t="s">
        <v>134</v>
      </c>
      <c r="N415" s="1" t="s">
        <v>160</v>
      </c>
      <c r="O415" s="1" t="s">
        <v>582</v>
      </c>
      <c r="P415" s="1" t="s">
        <v>153</v>
      </c>
      <c r="Q415" s="1" t="s">
        <v>153</v>
      </c>
      <c r="R415" s="1" t="s">
        <v>192</v>
      </c>
      <c r="S415" s="1" t="s">
        <v>32</v>
      </c>
      <c r="T415" s="3" t="str">
        <f>Sheet4!H415</f>
        <v xml:space="preserve"> View Map </v>
      </c>
    </row>
    <row r="416" spans="1:20" ht="15" x14ac:dyDescent="0.25">
      <c r="A416" s="1" t="s">
        <v>1783</v>
      </c>
      <c r="B416" s="1" t="s">
        <v>1784</v>
      </c>
      <c r="C416" s="2">
        <v>2023</v>
      </c>
      <c r="D416" s="1" t="s">
        <v>24</v>
      </c>
      <c r="E416" s="2">
        <v>1</v>
      </c>
      <c r="F416" s="1" t="s">
        <v>1785</v>
      </c>
      <c r="G416" s="1"/>
      <c r="H416" s="2">
        <v>0</v>
      </c>
      <c r="I416" s="2">
        <v>28080</v>
      </c>
      <c r="J416" s="1" t="s">
        <v>1786</v>
      </c>
      <c r="K416" s="1" t="s">
        <v>28</v>
      </c>
      <c r="L416" s="1" t="s">
        <v>51</v>
      </c>
      <c r="M416" s="1" t="s">
        <v>52</v>
      </c>
      <c r="N416" s="1" t="s">
        <v>53</v>
      </c>
      <c r="O416" s="1" t="s">
        <v>110</v>
      </c>
      <c r="P416" s="1" t="s">
        <v>45</v>
      </c>
      <c r="Q416" s="1" t="s">
        <v>53</v>
      </c>
      <c r="R416" s="1" t="s">
        <v>204</v>
      </c>
      <c r="S416" s="1" t="s">
        <v>71</v>
      </c>
      <c r="T416" s="3" t="str">
        <f>Sheet4!H416</f>
        <v xml:space="preserve"> View Map </v>
      </c>
    </row>
    <row r="417" spans="1:20" ht="15" x14ac:dyDescent="0.25">
      <c r="A417" s="1" t="s">
        <v>1787</v>
      </c>
      <c r="B417" s="1" t="s">
        <v>1788</v>
      </c>
      <c r="C417" s="2">
        <v>2005</v>
      </c>
      <c r="D417" s="1" t="s">
        <v>24</v>
      </c>
      <c r="E417" s="2">
        <v>0</v>
      </c>
      <c r="F417" s="1" t="s">
        <v>1789</v>
      </c>
      <c r="G417" s="1" t="s">
        <v>1790</v>
      </c>
      <c r="H417" s="2">
        <v>0</v>
      </c>
      <c r="I417" s="2">
        <v>27500</v>
      </c>
      <c r="J417" s="1" t="s">
        <v>1791</v>
      </c>
      <c r="K417" s="2">
        <v>27500</v>
      </c>
      <c r="L417" s="1" t="s">
        <v>51</v>
      </c>
      <c r="M417" s="1" t="s">
        <v>159</v>
      </c>
      <c r="N417" s="1" t="s">
        <v>160</v>
      </c>
      <c r="O417" s="1" t="s">
        <v>1431</v>
      </c>
      <c r="P417" s="1" t="s">
        <v>153</v>
      </c>
      <c r="Q417" s="1" t="s">
        <v>154</v>
      </c>
      <c r="R417" s="1" t="s">
        <v>459</v>
      </c>
      <c r="S417" s="1" t="s">
        <v>32</v>
      </c>
      <c r="T417" s="3" t="str">
        <f>Sheet4!H417</f>
        <v xml:space="preserve"> View Map </v>
      </c>
    </row>
    <row r="418" spans="1:20" ht="15" x14ac:dyDescent="0.25">
      <c r="A418" s="1" t="s">
        <v>1792</v>
      </c>
      <c r="B418" s="1" t="s">
        <v>1793</v>
      </c>
      <c r="C418" s="2">
        <v>2021</v>
      </c>
      <c r="D418" s="1" t="s">
        <v>24</v>
      </c>
      <c r="E418" s="2">
        <v>0</v>
      </c>
      <c r="F418" s="1"/>
      <c r="G418" s="1" t="s">
        <v>1794</v>
      </c>
      <c r="H418" s="2">
        <v>4900</v>
      </c>
      <c r="I418" s="2">
        <v>0</v>
      </c>
      <c r="J418" s="1" t="s">
        <v>1795</v>
      </c>
      <c r="K418" s="1" t="s">
        <v>28</v>
      </c>
      <c r="L418" s="1" t="s">
        <v>29</v>
      </c>
      <c r="M418" s="1" t="s">
        <v>134</v>
      </c>
      <c r="N418" s="1" t="s">
        <v>160</v>
      </c>
      <c r="O418" s="1" t="s">
        <v>1431</v>
      </c>
      <c r="P418" s="1" t="s">
        <v>153</v>
      </c>
      <c r="Q418" s="1" t="s">
        <v>154</v>
      </c>
      <c r="R418" s="1" t="s">
        <v>459</v>
      </c>
      <c r="S418" s="1" t="s">
        <v>32</v>
      </c>
      <c r="T418" s="3" t="str">
        <f>Sheet4!H418</f>
        <v xml:space="preserve"> View Map </v>
      </c>
    </row>
    <row r="419" spans="1:20" ht="15" x14ac:dyDescent="0.25">
      <c r="A419" s="1" t="s">
        <v>1796</v>
      </c>
      <c r="B419" s="1" t="s">
        <v>1797</v>
      </c>
      <c r="C419" s="2">
        <v>2005</v>
      </c>
      <c r="D419" s="1" t="s">
        <v>24</v>
      </c>
      <c r="E419" s="2">
        <v>1</v>
      </c>
      <c r="F419" s="1" t="s">
        <v>1629</v>
      </c>
      <c r="G419" s="1"/>
      <c r="H419" s="2">
        <v>0</v>
      </c>
      <c r="I419" s="2">
        <v>52000</v>
      </c>
      <c r="J419" s="1" t="s">
        <v>1798</v>
      </c>
      <c r="K419" s="2">
        <v>52000</v>
      </c>
      <c r="L419" s="1" t="s">
        <v>29</v>
      </c>
      <c r="M419" s="1" t="s">
        <v>30</v>
      </c>
      <c r="N419" s="1" t="s">
        <v>20</v>
      </c>
      <c r="O419" s="1" t="s">
        <v>31</v>
      </c>
      <c r="P419" s="1" t="s">
        <v>20</v>
      </c>
      <c r="Q419" s="1" t="s">
        <v>33</v>
      </c>
      <c r="R419" s="1" t="s">
        <v>90</v>
      </c>
      <c r="S419" s="1" t="s">
        <v>32</v>
      </c>
      <c r="T419" s="3" t="str">
        <f>Sheet4!H419</f>
        <v xml:space="preserve"> View Map </v>
      </c>
    </row>
    <row r="420" spans="1:20" ht="15" x14ac:dyDescent="0.25">
      <c r="A420" s="1" t="s">
        <v>1799</v>
      </c>
      <c r="B420" s="1" t="s">
        <v>1800</v>
      </c>
      <c r="C420" s="2">
        <v>2024</v>
      </c>
      <c r="D420" s="1" t="s">
        <v>24</v>
      </c>
      <c r="E420" s="2">
        <v>1</v>
      </c>
      <c r="F420" s="1" t="s">
        <v>1801</v>
      </c>
      <c r="G420" s="1" t="s">
        <v>1802</v>
      </c>
      <c r="H420" s="2">
        <v>369</v>
      </c>
      <c r="I420" s="2">
        <v>20000</v>
      </c>
      <c r="J420" s="1" t="s">
        <v>1803</v>
      </c>
      <c r="K420" s="2">
        <v>18000</v>
      </c>
      <c r="L420" s="1" t="s">
        <v>51</v>
      </c>
      <c r="M420" s="1" t="s">
        <v>52</v>
      </c>
      <c r="N420" s="1" t="s">
        <v>20</v>
      </c>
      <c r="O420" s="1" t="s">
        <v>43</v>
      </c>
      <c r="P420" s="1" t="s">
        <v>20</v>
      </c>
      <c r="Q420" s="1" t="s">
        <v>21</v>
      </c>
      <c r="R420" s="1" t="s">
        <v>607</v>
      </c>
      <c r="S420" s="1" t="s">
        <v>71</v>
      </c>
      <c r="T420" s="3" t="str">
        <f>Sheet4!H420</f>
        <v xml:space="preserve"> View Map </v>
      </c>
    </row>
    <row r="421" spans="1:20" ht="15" x14ac:dyDescent="0.25">
      <c r="A421" s="1" t="s">
        <v>1804</v>
      </c>
      <c r="B421" s="1" t="s">
        <v>1805</v>
      </c>
      <c r="C421" s="2">
        <v>2015</v>
      </c>
      <c r="D421" s="1" t="s">
        <v>24</v>
      </c>
      <c r="E421" s="2">
        <v>1</v>
      </c>
      <c r="F421" s="1" t="s">
        <v>1806</v>
      </c>
      <c r="G421" s="1"/>
      <c r="H421" s="2">
        <v>1204</v>
      </c>
      <c r="I421" s="2">
        <v>150000</v>
      </c>
      <c r="J421" s="1" t="s">
        <v>1807</v>
      </c>
      <c r="K421" s="2">
        <v>150000</v>
      </c>
      <c r="L421" s="1" t="s">
        <v>51</v>
      </c>
      <c r="M421" s="1" t="s">
        <v>52</v>
      </c>
      <c r="N421" s="1" t="s">
        <v>20</v>
      </c>
      <c r="O421" s="1" t="s">
        <v>43</v>
      </c>
      <c r="P421" s="1" t="s">
        <v>20</v>
      </c>
      <c r="Q421" s="1" t="s">
        <v>21</v>
      </c>
      <c r="R421" s="1" t="s">
        <v>262</v>
      </c>
      <c r="S421" s="1" t="s">
        <v>71</v>
      </c>
      <c r="T421" s="3" t="str">
        <f>Sheet4!H421</f>
        <v xml:space="preserve"> View Map </v>
      </c>
    </row>
    <row r="422" spans="1:20" ht="15" x14ac:dyDescent="0.25">
      <c r="A422" s="1" t="s">
        <v>1808</v>
      </c>
      <c r="B422" s="1" t="s">
        <v>1809</v>
      </c>
      <c r="C422" s="2">
        <v>2018</v>
      </c>
      <c r="D422" s="1" t="s">
        <v>24</v>
      </c>
      <c r="E422" s="2">
        <v>1</v>
      </c>
      <c r="F422" s="1" t="s">
        <v>1810</v>
      </c>
      <c r="G422" s="1" t="s">
        <v>1811</v>
      </c>
      <c r="H422" s="2">
        <v>2800</v>
      </c>
      <c r="I422" s="2">
        <v>40000</v>
      </c>
      <c r="J422" s="1" t="s">
        <v>1812</v>
      </c>
      <c r="K422" s="2">
        <v>40000</v>
      </c>
      <c r="L422" s="1" t="s">
        <v>51</v>
      </c>
      <c r="M422" s="1" t="s">
        <v>52</v>
      </c>
      <c r="N422" s="1" t="s">
        <v>53</v>
      </c>
      <c r="O422" s="1" t="s">
        <v>84</v>
      </c>
      <c r="P422" s="1" t="s">
        <v>45</v>
      </c>
      <c r="Q422" s="1" t="s">
        <v>45</v>
      </c>
      <c r="R422" s="1" t="s">
        <v>85</v>
      </c>
      <c r="S422" s="1" t="s">
        <v>32</v>
      </c>
      <c r="T422" s="3" t="str">
        <f>Sheet4!H422</f>
        <v xml:space="preserve"> View Map </v>
      </c>
    </row>
    <row r="423" spans="1:20" ht="15" x14ac:dyDescent="0.25">
      <c r="A423" s="1" t="s">
        <v>1813</v>
      </c>
      <c r="B423" s="1" t="s">
        <v>1814</v>
      </c>
      <c r="C423" s="2">
        <v>2005</v>
      </c>
      <c r="D423" s="1" t="s">
        <v>24</v>
      </c>
      <c r="E423" s="2">
        <v>0</v>
      </c>
      <c r="F423" s="1"/>
      <c r="G423" s="1"/>
      <c r="H423" s="2">
        <v>0</v>
      </c>
      <c r="I423" s="2">
        <v>0</v>
      </c>
      <c r="J423" s="1"/>
      <c r="K423" s="1" t="s">
        <v>28</v>
      </c>
      <c r="L423" s="1" t="s">
        <v>68</v>
      </c>
      <c r="M423" s="1" t="s">
        <v>69</v>
      </c>
      <c r="N423" s="1" t="s">
        <v>309</v>
      </c>
      <c r="O423" s="1" t="s">
        <v>28</v>
      </c>
      <c r="P423" s="1" t="s">
        <v>275</v>
      </c>
      <c r="Q423" s="1" t="s">
        <v>28</v>
      </c>
      <c r="R423" s="1" t="s">
        <v>309</v>
      </c>
      <c r="S423" s="1" t="s">
        <v>32</v>
      </c>
      <c r="T423" s="3" t="str">
        <f>Sheet4!H423</f>
        <v xml:space="preserve"> View Map </v>
      </c>
    </row>
    <row r="424" spans="1:20" ht="15" x14ac:dyDescent="0.25">
      <c r="A424" s="1" t="s">
        <v>1815</v>
      </c>
      <c r="B424" s="1" t="s">
        <v>1816</v>
      </c>
      <c r="C424" s="2">
        <v>2005</v>
      </c>
      <c r="D424" s="1" t="s">
        <v>24</v>
      </c>
      <c r="E424" s="2">
        <v>1</v>
      </c>
      <c r="F424" s="1" t="s">
        <v>1817</v>
      </c>
      <c r="G424" s="1"/>
      <c r="H424" s="2">
        <v>0</v>
      </c>
      <c r="I424" s="2">
        <v>35000</v>
      </c>
      <c r="J424" s="1" t="s">
        <v>1818</v>
      </c>
      <c r="K424" s="2">
        <v>18000</v>
      </c>
      <c r="L424" s="1" t="s">
        <v>29</v>
      </c>
      <c r="M424" s="1" t="s">
        <v>30</v>
      </c>
      <c r="N424" s="1" t="s">
        <v>20</v>
      </c>
      <c r="O424" s="1" t="s">
        <v>173</v>
      </c>
      <c r="P424" s="1" t="s">
        <v>20</v>
      </c>
      <c r="Q424" s="1" t="s">
        <v>179</v>
      </c>
      <c r="R424" s="1" t="s">
        <v>259</v>
      </c>
      <c r="S424" s="1" t="s">
        <v>32</v>
      </c>
      <c r="T424" s="3" t="str">
        <f>Sheet4!H424</f>
        <v xml:space="preserve"> View Map </v>
      </c>
    </row>
    <row r="425" spans="1:20" ht="15" x14ac:dyDescent="0.25">
      <c r="A425" s="1" t="s">
        <v>1819</v>
      </c>
      <c r="B425" s="1" t="s">
        <v>1820</v>
      </c>
      <c r="C425" s="2">
        <v>2019</v>
      </c>
      <c r="D425" s="1" t="s">
        <v>24</v>
      </c>
      <c r="E425" s="2">
        <v>1</v>
      </c>
      <c r="F425" s="1" t="s">
        <v>1821</v>
      </c>
      <c r="G425" s="1"/>
      <c r="H425" s="2">
        <v>600</v>
      </c>
      <c r="I425" s="2">
        <v>15000</v>
      </c>
      <c r="J425" s="1" t="s">
        <v>1822</v>
      </c>
      <c r="K425" s="2">
        <v>15000</v>
      </c>
      <c r="L425" s="1" t="s">
        <v>51</v>
      </c>
      <c r="M425" s="1" t="s">
        <v>52</v>
      </c>
      <c r="N425" s="1" t="s">
        <v>53</v>
      </c>
      <c r="O425" s="1" t="s">
        <v>84</v>
      </c>
      <c r="P425" s="1" t="s">
        <v>45</v>
      </c>
      <c r="Q425" s="1" t="s">
        <v>45</v>
      </c>
      <c r="R425" s="1" t="s">
        <v>55</v>
      </c>
      <c r="S425" s="1" t="s">
        <v>71</v>
      </c>
      <c r="T425" s="3" t="str">
        <f>Sheet4!H425</f>
        <v xml:space="preserve"> View Map </v>
      </c>
    </row>
    <row r="426" spans="1:20" ht="15" x14ac:dyDescent="0.25">
      <c r="A426" s="1" t="s">
        <v>1823</v>
      </c>
      <c r="B426" s="1" t="s">
        <v>1824</v>
      </c>
      <c r="C426" s="2">
        <v>2005</v>
      </c>
      <c r="D426" s="1" t="s">
        <v>24</v>
      </c>
      <c r="E426" s="2">
        <v>0</v>
      </c>
      <c r="F426" s="1"/>
      <c r="G426" s="1" t="s">
        <v>1825</v>
      </c>
      <c r="H426" s="2">
        <v>220</v>
      </c>
      <c r="I426" s="2">
        <v>0</v>
      </c>
      <c r="J426" s="1" t="s">
        <v>1826</v>
      </c>
      <c r="K426" s="1" t="s">
        <v>28</v>
      </c>
      <c r="L426" s="1" t="s">
        <v>68</v>
      </c>
      <c r="M426" s="1" t="s">
        <v>69</v>
      </c>
      <c r="N426" s="1" t="s">
        <v>309</v>
      </c>
      <c r="O426" s="1" t="s">
        <v>28</v>
      </c>
      <c r="P426" s="1" t="s">
        <v>304</v>
      </c>
      <c r="Q426" s="1" t="s">
        <v>386</v>
      </c>
      <c r="R426" s="1" t="s">
        <v>275</v>
      </c>
      <c r="S426" s="1" t="s">
        <v>71</v>
      </c>
      <c r="T426" s="3" t="str">
        <f>Sheet4!H426</f>
        <v xml:space="preserve"> View Map </v>
      </c>
    </row>
    <row r="427" spans="1:20" ht="15" x14ac:dyDescent="0.25">
      <c r="A427" s="1" t="s">
        <v>1827</v>
      </c>
      <c r="B427" s="1" t="s">
        <v>1828</v>
      </c>
      <c r="C427" s="2">
        <v>2021</v>
      </c>
      <c r="D427" s="1" t="s">
        <v>24</v>
      </c>
      <c r="E427" s="2">
        <v>0</v>
      </c>
      <c r="F427" s="1"/>
      <c r="G427" s="1"/>
      <c r="H427" s="2">
        <v>0</v>
      </c>
      <c r="I427" s="2">
        <v>0</v>
      </c>
      <c r="J427" s="1"/>
      <c r="K427" s="1" t="s">
        <v>28</v>
      </c>
      <c r="L427" s="1" t="s">
        <v>51</v>
      </c>
      <c r="M427" s="1" t="s">
        <v>52</v>
      </c>
      <c r="N427" s="1" t="s">
        <v>53</v>
      </c>
      <c r="O427" s="1" t="s">
        <v>401</v>
      </c>
      <c r="P427" s="1" t="s">
        <v>45</v>
      </c>
      <c r="Q427" s="1" t="s">
        <v>45</v>
      </c>
      <c r="R427" s="1" t="s">
        <v>431</v>
      </c>
      <c r="S427" s="1" t="s">
        <v>32</v>
      </c>
      <c r="T427" s="3" t="str">
        <f>Sheet4!H427</f>
        <v xml:space="preserve"> View Map </v>
      </c>
    </row>
    <row r="428" spans="1:20" ht="15" x14ac:dyDescent="0.25">
      <c r="A428" s="1" t="s">
        <v>1829</v>
      </c>
      <c r="B428" s="1" t="s">
        <v>1830</v>
      </c>
      <c r="C428" s="2">
        <v>2024</v>
      </c>
      <c r="D428" s="1" t="s">
        <v>24</v>
      </c>
      <c r="E428" s="2">
        <v>1</v>
      </c>
      <c r="F428" s="1" t="s">
        <v>1831</v>
      </c>
      <c r="G428" s="1" t="s">
        <v>1831</v>
      </c>
      <c r="H428" s="2">
        <v>10</v>
      </c>
      <c r="I428" s="2">
        <v>50000</v>
      </c>
      <c r="J428" s="1" t="s">
        <v>1832</v>
      </c>
      <c r="K428" s="2">
        <v>50000</v>
      </c>
      <c r="L428" s="1" t="s">
        <v>68</v>
      </c>
      <c r="M428" s="1" t="s">
        <v>69</v>
      </c>
      <c r="N428" s="1" t="s">
        <v>275</v>
      </c>
      <c r="O428" s="1" t="s">
        <v>1833</v>
      </c>
      <c r="P428" s="1" t="s">
        <v>275</v>
      </c>
      <c r="Q428" s="1" t="s">
        <v>275</v>
      </c>
      <c r="R428" s="1" t="s">
        <v>275</v>
      </c>
      <c r="S428" s="1" t="s">
        <v>71</v>
      </c>
      <c r="T428" s="3" t="str">
        <f>Sheet4!H428</f>
        <v xml:space="preserve"> View Map </v>
      </c>
    </row>
    <row r="429" spans="1:20" ht="15" x14ac:dyDescent="0.25">
      <c r="A429" s="1" t="s">
        <v>1834</v>
      </c>
      <c r="B429" s="1" t="s">
        <v>1835</v>
      </c>
      <c r="C429" s="2">
        <v>2017</v>
      </c>
      <c r="D429" s="1" t="s">
        <v>24</v>
      </c>
      <c r="E429" s="2">
        <v>1</v>
      </c>
      <c r="F429" s="1" t="s">
        <v>1836</v>
      </c>
      <c r="G429" s="1" t="s">
        <v>1836</v>
      </c>
      <c r="H429" s="2">
        <v>161</v>
      </c>
      <c r="I429" s="2">
        <v>25000</v>
      </c>
      <c r="J429" s="1" t="s">
        <v>1837</v>
      </c>
      <c r="K429" s="2">
        <v>25000</v>
      </c>
      <c r="L429" s="1" t="s">
        <v>68</v>
      </c>
      <c r="M429" s="1" t="s">
        <v>69</v>
      </c>
      <c r="N429" s="1" t="s">
        <v>275</v>
      </c>
      <c r="O429" s="1" t="s">
        <v>354</v>
      </c>
      <c r="P429" s="1" t="s">
        <v>275</v>
      </c>
      <c r="Q429" s="1" t="s">
        <v>348</v>
      </c>
      <c r="R429" s="1" t="s">
        <v>275</v>
      </c>
      <c r="S429" s="1" t="s">
        <v>71</v>
      </c>
      <c r="T429" s="3" t="str">
        <f>Sheet4!H429</f>
        <v xml:space="preserve"> View Map </v>
      </c>
    </row>
    <row r="430" spans="1:20" ht="15" x14ac:dyDescent="0.25">
      <c r="A430" s="1" t="s">
        <v>1838</v>
      </c>
      <c r="B430" s="1" t="s">
        <v>1839</v>
      </c>
      <c r="C430" s="2">
        <v>2017</v>
      </c>
      <c r="D430" s="1" t="s">
        <v>24</v>
      </c>
      <c r="E430" s="2">
        <v>1</v>
      </c>
      <c r="F430" s="1" t="s">
        <v>1840</v>
      </c>
      <c r="G430" s="1"/>
      <c r="H430" s="2">
        <v>700</v>
      </c>
      <c r="I430" s="2">
        <v>83200</v>
      </c>
      <c r="J430" s="1" t="s">
        <v>1841</v>
      </c>
      <c r="K430" s="2">
        <v>83200</v>
      </c>
      <c r="L430" s="1" t="s">
        <v>51</v>
      </c>
      <c r="M430" s="1" t="s">
        <v>52</v>
      </c>
      <c r="N430" s="1" t="s">
        <v>53</v>
      </c>
      <c r="O430" s="1" t="s">
        <v>84</v>
      </c>
      <c r="P430" s="1" t="s">
        <v>45</v>
      </c>
      <c r="Q430" s="1" t="s">
        <v>46</v>
      </c>
      <c r="R430" s="1" t="s">
        <v>55</v>
      </c>
      <c r="S430" s="1" t="s">
        <v>71</v>
      </c>
      <c r="T430" s="3" t="str">
        <f>Sheet4!H430</f>
        <v xml:space="preserve"> View Map </v>
      </c>
    </row>
    <row r="431" spans="1:20" ht="15" x14ac:dyDescent="0.25">
      <c r="A431" s="1" t="s">
        <v>1842</v>
      </c>
      <c r="B431" s="1" t="s">
        <v>1843</v>
      </c>
      <c r="C431" s="2">
        <v>2005</v>
      </c>
      <c r="D431" s="1" t="s">
        <v>24</v>
      </c>
      <c r="E431" s="2">
        <v>1</v>
      </c>
      <c r="F431" s="1" t="s">
        <v>1844</v>
      </c>
      <c r="G431" s="1"/>
      <c r="H431" s="2">
        <v>0</v>
      </c>
      <c r="I431" s="2">
        <v>35000</v>
      </c>
      <c r="J431" s="1" t="s">
        <v>1845</v>
      </c>
      <c r="K431" s="2">
        <v>35000</v>
      </c>
      <c r="L431" s="1" t="s">
        <v>51</v>
      </c>
      <c r="M431" s="1" t="s">
        <v>52</v>
      </c>
      <c r="N431" s="1" t="s">
        <v>53</v>
      </c>
      <c r="O431" s="1" t="s">
        <v>62</v>
      </c>
      <c r="P431" s="1" t="s">
        <v>45</v>
      </c>
      <c r="Q431" s="1" t="s">
        <v>46</v>
      </c>
      <c r="R431" s="1" t="s">
        <v>262</v>
      </c>
      <c r="S431" s="1" t="s">
        <v>32</v>
      </c>
      <c r="T431" s="3" t="str">
        <f>Sheet4!H431</f>
        <v xml:space="preserve"> View Map </v>
      </c>
    </row>
    <row r="432" spans="1:20" ht="15" x14ac:dyDescent="0.25">
      <c r="A432" s="1" t="s">
        <v>1846</v>
      </c>
      <c r="B432" s="1" t="s">
        <v>1847</v>
      </c>
      <c r="C432" s="2">
        <v>2022</v>
      </c>
      <c r="D432" s="1" t="s">
        <v>24</v>
      </c>
      <c r="E432" s="2">
        <v>1</v>
      </c>
      <c r="F432" s="1" t="s">
        <v>1848</v>
      </c>
      <c r="G432" s="1" t="s">
        <v>1849</v>
      </c>
      <c r="H432" s="2">
        <v>1150</v>
      </c>
      <c r="I432" s="2">
        <v>60000</v>
      </c>
      <c r="J432" s="1" t="s">
        <v>1141</v>
      </c>
      <c r="K432" s="2">
        <v>60000</v>
      </c>
      <c r="L432" s="1" t="s">
        <v>51</v>
      </c>
      <c r="M432" s="1" t="s">
        <v>52</v>
      </c>
      <c r="N432" s="1" t="s">
        <v>20</v>
      </c>
      <c r="O432" s="1" t="s">
        <v>43</v>
      </c>
      <c r="P432" s="1" t="s">
        <v>20</v>
      </c>
      <c r="Q432" s="1" t="s">
        <v>21</v>
      </c>
      <c r="R432" s="1" t="s">
        <v>607</v>
      </c>
      <c r="S432" s="1" t="s">
        <v>71</v>
      </c>
      <c r="T432" s="3" t="str">
        <f>Sheet4!H432</f>
        <v xml:space="preserve"> View Map </v>
      </c>
    </row>
    <row r="433" spans="1:20" ht="15" x14ac:dyDescent="0.25">
      <c r="A433" s="1" t="s">
        <v>1850</v>
      </c>
      <c r="B433" s="1" t="s">
        <v>402</v>
      </c>
      <c r="C433" s="2">
        <v>2021</v>
      </c>
      <c r="D433" s="1" t="s">
        <v>24</v>
      </c>
      <c r="E433" s="2">
        <v>0</v>
      </c>
      <c r="F433" s="1"/>
      <c r="G433" s="1"/>
      <c r="H433" s="2">
        <v>0</v>
      </c>
      <c r="I433" s="2">
        <v>0</v>
      </c>
      <c r="J433" s="1"/>
      <c r="K433" s="1" t="s">
        <v>28</v>
      </c>
      <c r="L433" s="1" t="s">
        <v>68</v>
      </c>
      <c r="M433" s="1" t="s">
        <v>69</v>
      </c>
      <c r="N433" s="1" t="s">
        <v>275</v>
      </c>
      <c r="O433" s="1" t="s">
        <v>407</v>
      </c>
      <c r="P433" s="1" t="s">
        <v>275</v>
      </c>
      <c r="Q433" s="1" t="s">
        <v>402</v>
      </c>
      <c r="R433" s="1" t="s">
        <v>275</v>
      </c>
      <c r="S433" s="1" t="s">
        <v>32</v>
      </c>
      <c r="T433" s="3" t="str">
        <f>Sheet4!H433</f>
        <v xml:space="preserve"> View Map </v>
      </c>
    </row>
    <row r="434" spans="1:20" ht="15" x14ac:dyDescent="0.25">
      <c r="A434" s="1" t="s">
        <v>1851</v>
      </c>
      <c r="B434" s="1" t="s">
        <v>1852</v>
      </c>
      <c r="C434" s="2">
        <v>2005</v>
      </c>
      <c r="D434" s="1" t="s">
        <v>24</v>
      </c>
      <c r="E434" s="2">
        <v>1</v>
      </c>
      <c r="F434" s="1" t="s">
        <v>98</v>
      </c>
      <c r="G434" s="1" t="s">
        <v>98</v>
      </c>
      <c r="H434" s="2">
        <v>975</v>
      </c>
      <c r="I434" s="2">
        <v>27000</v>
      </c>
      <c r="J434" s="1" t="s">
        <v>1853</v>
      </c>
      <c r="K434" s="2">
        <v>27000</v>
      </c>
      <c r="L434" s="1" t="s">
        <v>51</v>
      </c>
      <c r="M434" s="1" t="s">
        <v>52</v>
      </c>
      <c r="N434" s="1" t="s">
        <v>53</v>
      </c>
      <c r="O434" s="1" t="s">
        <v>84</v>
      </c>
      <c r="P434" s="1" t="s">
        <v>45</v>
      </c>
      <c r="Q434" s="1" t="s">
        <v>45</v>
      </c>
      <c r="R434" s="1" t="s">
        <v>85</v>
      </c>
      <c r="S434" s="1" t="s">
        <v>32</v>
      </c>
      <c r="T434" s="3" t="str">
        <f>Sheet4!H434</f>
        <v xml:space="preserve"> View Map </v>
      </c>
    </row>
    <row r="435" spans="1:20" ht="15" x14ac:dyDescent="0.25">
      <c r="A435" s="1" t="s">
        <v>1854</v>
      </c>
      <c r="B435" s="1" t="s">
        <v>1855</v>
      </c>
      <c r="C435" s="2">
        <v>1928</v>
      </c>
      <c r="D435" s="1" t="s">
        <v>24</v>
      </c>
      <c r="E435" s="2">
        <v>1</v>
      </c>
      <c r="F435" s="1"/>
      <c r="G435" s="1"/>
      <c r="H435" s="2">
        <v>4300</v>
      </c>
      <c r="I435" s="2">
        <v>65000</v>
      </c>
      <c r="J435" s="1" t="s">
        <v>1856</v>
      </c>
      <c r="K435" s="2">
        <v>36000</v>
      </c>
      <c r="L435" s="1" t="s">
        <v>29</v>
      </c>
      <c r="M435" s="1" t="s">
        <v>30</v>
      </c>
      <c r="N435" s="1" t="s">
        <v>20</v>
      </c>
      <c r="O435" s="1" t="s">
        <v>173</v>
      </c>
      <c r="P435" s="1" t="s">
        <v>20</v>
      </c>
      <c r="Q435" s="1" t="s">
        <v>179</v>
      </c>
      <c r="R435" s="1" t="s">
        <v>259</v>
      </c>
      <c r="S435" s="1" t="s">
        <v>32</v>
      </c>
      <c r="T435" s="3" t="str">
        <f>Sheet4!H435</f>
        <v xml:space="preserve"> View Map </v>
      </c>
    </row>
    <row r="436" spans="1:20" ht="15" x14ac:dyDescent="0.25">
      <c r="A436" s="1" t="s">
        <v>1857</v>
      </c>
      <c r="B436" s="1" t="s">
        <v>1858</v>
      </c>
      <c r="C436" s="2">
        <v>2005</v>
      </c>
      <c r="D436" s="1" t="s">
        <v>24</v>
      </c>
      <c r="E436" s="2">
        <v>1</v>
      </c>
      <c r="F436" s="1" t="s">
        <v>1859</v>
      </c>
      <c r="G436" s="1" t="s">
        <v>1860</v>
      </c>
      <c r="H436" s="2">
        <v>3500</v>
      </c>
      <c r="I436" s="2">
        <v>50000</v>
      </c>
      <c r="J436" s="1" t="s">
        <v>1861</v>
      </c>
      <c r="K436" s="2">
        <v>50000</v>
      </c>
      <c r="L436" s="1" t="s">
        <v>51</v>
      </c>
      <c r="M436" s="1" t="s">
        <v>52</v>
      </c>
      <c r="N436" s="1" t="s">
        <v>322</v>
      </c>
      <c r="O436" s="1" t="s">
        <v>712</v>
      </c>
      <c r="P436" s="1" t="s">
        <v>45</v>
      </c>
      <c r="Q436" s="1" t="s">
        <v>46</v>
      </c>
      <c r="R436" s="1" t="s">
        <v>322</v>
      </c>
      <c r="S436" s="1" t="s">
        <v>32</v>
      </c>
      <c r="T436" s="3" t="str">
        <f>Sheet4!H436</f>
        <v xml:space="preserve"> View Map </v>
      </c>
    </row>
    <row r="437" spans="1:20" ht="15" x14ac:dyDescent="0.25">
      <c r="A437" s="1" t="s">
        <v>1862</v>
      </c>
      <c r="B437" s="1" t="s">
        <v>1863</v>
      </c>
      <c r="C437" s="2">
        <v>2005</v>
      </c>
      <c r="D437" s="1" t="s">
        <v>24</v>
      </c>
      <c r="E437" s="2">
        <v>1</v>
      </c>
      <c r="F437" s="1" t="s">
        <v>1864</v>
      </c>
      <c r="G437" s="1" t="s">
        <v>1865</v>
      </c>
      <c r="H437" s="2">
        <v>3300</v>
      </c>
      <c r="I437" s="2">
        <v>92000</v>
      </c>
      <c r="J437" s="1" t="s">
        <v>1866</v>
      </c>
      <c r="K437" s="2">
        <v>92000</v>
      </c>
      <c r="L437" s="1" t="s">
        <v>51</v>
      </c>
      <c r="M437" s="1" t="s">
        <v>52</v>
      </c>
      <c r="N437" s="1" t="s">
        <v>53</v>
      </c>
      <c r="O437" s="1" t="s">
        <v>1867</v>
      </c>
      <c r="P437" s="1" t="s">
        <v>45</v>
      </c>
      <c r="Q437" s="1" t="s">
        <v>53</v>
      </c>
      <c r="R437" s="1" t="s">
        <v>105</v>
      </c>
      <c r="S437" s="1" t="s">
        <v>32</v>
      </c>
      <c r="T437" s="3" t="str">
        <f>Sheet4!H437</f>
        <v xml:space="preserve"> View Map </v>
      </c>
    </row>
    <row r="438" spans="1:20" ht="15" x14ac:dyDescent="0.25">
      <c r="A438" s="1" t="s">
        <v>1868</v>
      </c>
      <c r="B438" s="1" t="s">
        <v>1869</v>
      </c>
      <c r="C438" s="2">
        <v>2021</v>
      </c>
      <c r="D438" s="1" t="s">
        <v>24</v>
      </c>
      <c r="E438" s="2">
        <v>0</v>
      </c>
      <c r="F438" s="1" t="s">
        <v>1870</v>
      </c>
      <c r="G438" s="1" t="s">
        <v>1178</v>
      </c>
      <c r="H438" s="2">
        <v>762</v>
      </c>
      <c r="I438" s="2">
        <v>7700</v>
      </c>
      <c r="J438" s="1" t="s">
        <v>1871</v>
      </c>
      <c r="K438" s="1" t="s">
        <v>28</v>
      </c>
      <c r="L438" s="1" t="s">
        <v>51</v>
      </c>
      <c r="M438" s="1" t="s">
        <v>159</v>
      </c>
      <c r="N438" s="1" t="s">
        <v>160</v>
      </c>
      <c r="O438" s="1" t="s">
        <v>219</v>
      </c>
      <c r="P438" s="1" t="s">
        <v>153</v>
      </c>
      <c r="Q438" s="1" t="s">
        <v>153</v>
      </c>
      <c r="R438" s="1" t="s">
        <v>220</v>
      </c>
      <c r="S438" s="1" t="s">
        <v>32</v>
      </c>
      <c r="T438" s="3" t="str">
        <f>Sheet4!H438</f>
        <v xml:space="preserve"> View Map </v>
      </c>
    </row>
    <row r="439" spans="1:20" ht="15" x14ac:dyDescent="0.25">
      <c r="A439" s="1" t="s">
        <v>1872</v>
      </c>
      <c r="B439" s="1" t="s">
        <v>1873</v>
      </c>
      <c r="C439" s="2">
        <v>2005</v>
      </c>
      <c r="D439" s="1" t="s">
        <v>24</v>
      </c>
      <c r="E439" s="2">
        <v>0</v>
      </c>
      <c r="F439" s="1"/>
      <c r="G439" s="1"/>
      <c r="H439" s="2">
        <v>0</v>
      </c>
      <c r="I439" s="2">
        <v>0</v>
      </c>
      <c r="J439" s="1" t="s">
        <v>1874</v>
      </c>
      <c r="K439" s="1" t="s">
        <v>28</v>
      </c>
      <c r="L439" s="1" t="s">
        <v>68</v>
      </c>
      <c r="M439" s="1" t="s">
        <v>69</v>
      </c>
      <c r="N439" s="1" t="s">
        <v>162</v>
      </c>
      <c r="O439" s="1" t="s">
        <v>28</v>
      </c>
      <c r="P439" s="1" t="s">
        <v>162</v>
      </c>
      <c r="Q439" s="1" t="s">
        <v>311</v>
      </c>
      <c r="R439" s="1" t="s">
        <v>162</v>
      </c>
      <c r="S439" s="1" t="s">
        <v>28</v>
      </c>
      <c r="T439" s="3" t="str">
        <f>Sheet4!H439</f>
        <v xml:space="preserve"> View Map </v>
      </c>
    </row>
    <row r="440" spans="1:20" ht="15" x14ac:dyDescent="0.25">
      <c r="A440" s="1" t="s">
        <v>1875</v>
      </c>
      <c r="B440" s="1" t="s">
        <v>1876</v>
      </c>
      <c r="C440" s="2">
        <v>0</v>
      </c>
      <c r="D440" s="1" t="s">
        <v>24</v>
      </c>
      <c r="E440" s="2">
        <v>1</v>
      </c>
      <c r="F440" s="1" t="s">
        <v>1877</v>
      </c>
      <c r="G440" s="1" t="s">
        <v>1878</v>
      </c>
      <c r="H440" s="2">
        <v>0</v>
      </c>
      <c r="I440" s="2">
        <v>35000</v>
      </c>
      <c r="J440" s="1" t="s">
        <v>1879</v>
      </c>
      <c r="K440" s="2">
        <v>35000</v>
      </c>
      <c r="L440" s="1" t="s">
        <v>29</v>
      </c>
      <c r="M440" s="1" t="s">
        <v>30</v>
      </c>
      <c r="N440" s="1" t="s">
        <v>20</v>
      </c>
      <c r="O440" s="1" t="s">
        <v>43</v>
      </c>
      <c r="P440" s="1" t="s">
        <v>20</v>
      </c>
      <c r="Q440" s="1" t="s">
        <v>21</v>
      </c>
      <c r="R440" s="1" t="s">
        <v>293</v>
      </c>
      <c r="S440" s="1" t="s">
        <v>32</v>
      </c>
      <c r="T440" s="3" t="str">
        <f>Sheet4!H440</f>
        <v xml:space="preserve"> View Map </v>
      </c>
    </row>
    <row r="441" spans="1:20" ht="15" x14ac:dyDescent="0.25">
      <c r="A441" s="1" t="s">
        <v>1880</v>
      </c>
      <c r="B441" s="1" t="s">
        <v>1881</v>
      </c>
      <c r="C441" s="2">
        <v>2005</v>
      </c>
      <c r="D441" s="1" t="s">
        <v>24</v>
      </c>
      <c r="E441" s="2">
        <v>0</v>
      </c>
      <c r="F441" s="1" t="s">
        <v>1882</v>
      </c>
      <c r="G441" s="1"/>
      <c r="H441" s="2">
        <v>900</v>
      </c>
      <c r="I441" s="2">
        <v>64000</v>
      </c>
      <c r="J441" s="1" t="s">
        <v>1883</v>
      </c>
      <c r="K441" s="2">
        <v>64000</v>
      </c>
      <c r="L441" s="1" t="s">
        <v>68</v>
      </c>
      <c r="M441" s="1" t="s">
        <v>69</v>
      </c>
      <c r="N441" s="1" t="s">
        <v>322</v>
      </c>
      <c r="O441" s="1" t="s">
        <v>323</v>
      </c>
      <c r="P441" s="1" t="s">
        <v>162</v>
      </c>
      <c r="Q441" s="1" t="s">
        <v>316</v>
      </c>
      <c r="R441" s="1" t="s">
        <v>784</v>
      </c>
      <c r="S441" s="1" t="s">
        <v>32</v>
      </c>
      <c r="T441" s="3" t="str">
        <f>Sheet4!H441</f>
        <v xml:space="preserve"> View Map </v>
      </c>
    </row>
    <row r="442" spans="1:20" ht="15" x14ac:dyDescent="0.25">
      <c r="A442" s="1" t="s">
        <v>1884</v>
      </c>
      <c r="B442" s="1" t="s">
        <v>1885</v>
      </c>
      <c r="C442" s="2">
        <v>2005</v>
      </c>
      <c r="D442" s="1" t="s">
        <v>24</v>
      </c>
      <c r="E442" s="2">
        <v>1</v>
      </c>
      <c r="F442" s="1" t="s">
        <v>1886</v>
      </c>
      <c r="G442" s="1"/>
      <c r="H442" s="2">
        <v>0</v>
      </c>
      <c r="I442" s="2">
        <v>40000</v>
      </c>
      <c r="J442" s="1" t="s">
        <v>1887</v>
      </c>
      <c r="K442" s="1" t="s">
        <v>28</v>
      </c>
      <c r="L442" s="1" t="s">
        <v>68</v>
      </c>
      <c r="M442" s="1" t="s">
        <v>69</v>
      </c>
      <c r="N442" s="1" t="s">
        <v>162</v>
      </c>
      <c r="O442" s="1" t="s">
        <v>1888</v>
      </c>
      <c r="P442" s="1" t="s">
        <v>162</v>
      </c>
      <c r="Q442" s="1" t="s">
        <v>162</v>
      </c>
      <c r="R442" s="1" t="s">
        <v>162</v>
      </c>
      <c r="S442" s="1" t="s">
        <v>32</v>
      </c>
      <c r="T442" s="3" t="str">
        <f>Sheet4!H442</f>
        <v xml:space="preserve"> View Map </v>
      </c>
    </row>
    <row r="443" spans="1:20" ht="15" x14ac:dyDescent="0.25">
      <c r="A443" s="1" t="s">
        <v>1889</v>
      </c>
      <c r="B443" s="1" t="s">
        <v>1890</v>
      </c>
      <c r="C443" s="2">
        <v>2005</v>
      </c>
      <c r="D443" s="1" t="s">
        <v>24</v>
      </c>
      <c r="E443" s="2">
        <v>1</v>
      </c>
      <c r="F443" s="1" t="s">
        <v>1891</v>
      </c>
      <c r="G443" s="1"/>
      <c r="H443" s="2">
        <v>0</v>
      </c>
      <c r="I443" s="2">
        <v>51000</v>
      </c>
      <c r="J443" s="1" t="s">
        <v>1892</v>
      </c>
      <c r="K443" s="2">
        <v>51000</v>
      </c>
      <c r="L443" s="1" t="s">
        <v>68</v>
      </c>
      <c r="M443" s="1" t="s">
        <v>69</v>
      </c>
      <c r="N443" s="1" t="s">
        <v>162</v>
      </c>
      <c r="O443" s="1" t="s">
        <v>374</v>
      </c>
      <c r="P443" s="1" t="s">
        <v>162</v>
      </c>
      <c r="Q443" s="1" t="s">
        <v>162</v>
      </c>
      <c r="R443" s="1" t="s">
        <v>162</v>
      </c>
      <c r="S443" s="1" t="s">
        <v>32</v>
      </c>
      <c r="T443" s="3" t="str">
        <f>Sheet4!H443</f>
        <v xml:space="preserve"> View Map </v>
      </c>
    </row>
    <row r="444" spans="1:20" ht="15" x14ac:dyDescent="0.25">
      <c r="A444" s="1" t="s">
        <v>1893</v>
      </c>
      <c r="B444" s="1" t="s">
        <v>1894</v>
      </c>
      <c r="C444" s="2">
        <v>2005</v>
      </c>
      <c r="D444" s="1" t="s">
        <v>24</v>
      </c>
      <c r="E444" s="2">
        <v>1</v>
      </c>
      <c r="F444" s="1" t="s">
        <v>1895</v>
      </c>
      <c r="G444" s="1" t="s">
        <v>1896</v>
      </c>
      <c r="H444" s="2">
        <v>94</v>
      </c>
      <c r="I444" s="2">
        <v>65000</v>
      </c>
      <c r="J444" s="1" t="s">
        <v>1897</v>
      </c>
      <c r="K444" s="2">
        <v>65000</v>
      </c>
      <c r="L444" s="1" t="s">
        <v>68</v>
      </c>
      <c r="M444" s="1" t="s">
        <v>69</v>
      </c>
      <c r="N444" s="1" t="s">
        <v>275</v>
      </c>
      <c r="O444" s="1" t="s">
        <v>391</v>
      </c>
      <c r="P444" s="1" t="s">
        <v>304</v>
      </c>
      <c r="Q444" s="1" t="s">
        <v>386</v>
      </c>
      <c r="R444" s="1" t="s">
        <v>275</v>
      </c>
      <c r="S444" s="1" t="s">
        <v>32</v>
      </c>
      <c r="T444" s="3" t="str">
        <f>Sheet4!H444</f>
        <v xml:space="preserve"> View Map </v>
      </c>
    </row>
    <row r="445" spans="1:20" ht="15" x14ac:dyDescent="0.25">
      <c r="A445" s="1" t="s">
        <v>1898</v>
      </c>
      <c r="B445" s="1" t="s">
        <v>1899</v>
      </c>
      <c r="C445" s="2">
        <v>2019</v>
      </c>
      <c r="D445" s="1" t="s">
        <v>24</v>
      </c>
      <c r="E445" s="2">
        <v>1</v>
      </c>
      <c r="F445" s="1" t="s">
        <v>1900</v>
      </c>
      <c r="G445" s="1" t="s">
        <v>1901</v>
      </c>
      <c r="H445" s="2">
        <v>30</v>
      </c>
      <c r="I445" s="2">
        <v>35000</v>
      </c>
      <c r="J445" s="1" t="s">
        <v>1902</v>
      </c>
      <c r="K445" s="2">
        <v>18000</v>
      </c>
      <c r="L445" s="1" t="s">
        <v>68</v>
      </c>
      <c r="M445" s="1" t="s">
        <v>69</v>
      </c>
      <c r="N445" s="1" t="s">
        <v>275</v>
      </c>
      <c r="O445" s="1" t="s">
        <v>1060</v>
      </c>
      <c r="P445" s="1" t="s">
        <v>275</v>
      </c>
      <c r="Q445" s="1" t="s">
        <v>275</v>
      </c>
      <c r="R445" s="1" t="s">
        <v>275</v>
      </c>
      <c r="S445" s="1" t="s">
        <v>71</v>
      </c>
      <c r="T445" s="3" t="str">
        <f>Sheet4!H445</f>
        <v xml:space="preserve"> View Map </v>
      </c>
    </row>
    <row r="446" spans="1:20" ht="15" x14ac:dyDescent="0.25">
      <c r="A446" s="1" t="s">
        <v>1903</v>
      </c>
      <c r="B446" s="1" t="s">
        <v>1904</v>
      </c>
      <c r="C446" s="2">
        <v>2021</v>
      </c>
      <c r="D446" s="1" t="s">
        <v>24</v>
      </c>
      <c r="E446" s="2">
        <v>1</v>
      </c>
      <c r="F446" s="1" t="s">
        <v>1905</v>
      </c>
      <c r="G446" s="1" t="s">
        <v>1249</v>
      </c>
      <c r="H446" s="2">
        <v>602</v>
      </c>
      <c r="I446" s="2">
        <v>42000</v>
      </c>
      <c r="J446" s="1" t="s">
        <v>1906</v>
      </c>
      <c r="K446" s="2">
        <v>42000</v>
      </c>
      <c r="L446" s="1" t="s">
        <v>68</v>
      </c>
      <c r="M446" s="1" t="s">
        <v>69</v>
      </c>
      <c r="N446" s="1" t="s">
        <v>162</v>
      </c>
      <c r="O446" s="1" t="s">
        <v>1249</v>
      </c>
      <c r="P446" s="1" t="s">
        <v>162</v>
      </c>
      <c r="Q446" s="1" t="s">
        <v>355</v>
      </c>
      <c r="R446" s="1" t="s">
        <v>561</v>
      </c>
      <c r="S446" s="1" t="s">
        <v>32</v>
      </c>
      <c r="T446" s="3" t="str">
        <f>Sheet4!H446</f>
        <v xml:space="preserve"> View Map </v>
      </c>
    </row>
    <row r="447" spans="1:20" ht="15" x14ac:dyDescent="0.25">
      <c r="A447" s="1" t="s">
        <v>1907</v>
      </c>
      <c r="B447" s="1" t="s">
        <v>1908</v>
      </c>
      <c r="C447" s="2">
        <v>2005</v>
      </c>
      <c r="D447" s="1" t="s">
        <v>24</v>
      </c>
      <c r="E447" s="2">
        <v>1</v>
      </c>
      <c r="F447" s="1" t="s">
        <v>1909</v>
      </c>
      <c r="G447" s="1" t="s">
        <v>1713</v>
      </c>
      <c r="H447" s="2">
        <v>4800</v>
      </c>
      <c r="I447" s="2">
        <v>7000</v>
      </c>
      <c r="J447" s="1" t="s">
        <v>1910</v>
      </c>
      <c r="K447" s="2">
        <v>7000</v>
      </c>
      <c r="L447" s="1" t="s">
        <v>29</v>
      </c>
      <c r="M447" s="1" t="s">
        <v>134</v>
      </c>
      <c r="N447" s="1" t="s">
        <v>160</v>
      </c>
      <c r="O447" s="1" t="s">
        <v>1431</v>
      </c>
      <c r="P447" s="1" t="s">
        <v>153</v>
      </c>
      <c r="Q447" s="1" t="s">
        <v>154</v>
      </c>
      <c r="R447" s="1" t="s">
        <v>192</v>
      </c>
      <c r="S447" s="1" t="s">
        <v>32</v>
      </c>
      <c r="T447" s="3" t="str">
        <f>Sheet4!H447</f>
        <v xml:space="preserve"> View Map </v>
      </c>
    </row>
    <row r="448" spans="1:20" ht="15" x14ac:dyDescent="0.25">
      <c r="A448" s="1" t="s">
        <v>1911</v>
      </c>
      <c r="B448" s="1" t="s">
        <v>1912</v>
      </c>
      <c r="C448" s="2">
        <v>2018</v>
      </c>
      <c r="D448" s="1" t="s">
        <v>24</v>
      </c>
      <c r="E448" s="2">
        <v>1</v>
      </c>
      <c r="F448" s="1" t="s">
        <v>1913</v>
      </c>
      <c r="G448" s="1" t="s">
        <v>1914</v>
      </c>
      <c r="H448" s="2">
        <v>700</v>
      </c>
      <c r="I448" s="2">
        <v>68800</v>
      </c>
      <c r="J448" s="1" t="s">
        <v>1915</v>
      </c>
      <c r="K448" s="2">
        <v>68800</v>
      </c>
      <c r="L448" s="1" t="s">
        <v>68</v>
      </c>
      <c r="M448" s="1" t="s">
        <v>69</v>
      </c>
      <c r="N448" s="1" t="s">
        <v>162</v>
      </c>
      <c r="O448" s="1" t="s">
        <v>1426</v>
      </c>
      <c r="P448" s="1" t="s">
        <v>304</v>
      </c>
      <c r="Q448" s="1" t="s">
        <v>432</v>
      </c>
      <c r="R448" s="1" t="s">
        <v>309</v>
      </c>
      <c r="S448" s="1" t="s">
        <v>71</v>
      </c>
      <c r="T448" s="3" t="str">
        <f>Sheet4!H448</f>
        <v xml:space="preserve"> View Map </v>
      </c>
    </row>
    <row r="449" spans="1:20" ht="15" x14ac:dyDescent="0.25">
      <c r="A449" s="1" t="s">
        <v>1916</v>
      </c>
      <c r="B449" s="1" t="s">
        <v>1917</v>
      </c>
      <c r="C449" s="2">
        <v>2021</v>
      </c>
      <c r="D449" s="1" t="s">
        <v>24</v>
      </c>
      <c r="E449" s="2">
        <v>1</v>
      </c>
      <c r="F449" s="1" t="s">
        <v>1918</v>
      </c>
      <c r="G449" s="1" t="s">
        <v>1919</v>
      </c>
      <c r="H449" s="2">
        <v>1000</v>
      </c>
      <c r="I449" s="2">
        <v>40000</v>
      </c>
      <c r="J449" s="1" t="s">
        <v>1920</v>
      </c>
      <c r="K449" s="1" t="s">
        <v>28</v>
      </c>
      <c r="L449" s="1" t="s">
        <v>68</v>
      </c>
      <c r="M449" s="1" t="s">
        <v>69</v>
      </c>
      <c r="N449" s="1" t="s">
        <v>162</v>
      </c>
      <c r="O449" s="1" t="s">
        <v>167</v>
      </c>
      <c r="P449" s="1" t="s">
        <v>162</v>
      </c>
      <c r="Q449" s="1" t="s">
        <v>311</v>
      </c>
      <c r="R449" s="1" t="s">
        <v>162</v>
      </c>
      <c r="S449" s="1" t="s">
        <v>32</v>
      </c>
      <c r="T449" s="3" t="str">
        <f>Sheet4!H449</f>
        <v xml:space="preserve"> View Map </v>
      </c>
    </row>
    <row r="450" spans="1:20" ht="15" x14ac:dyDescent="0.25">
      <c r="A450" s="1" t="s">
        <v>1921</v>
      </c>
      <c r="B450" s="1" t="s">
        <v>1922</v>
      </c>
      <c r="C450" s="2">
        <v>2005</v>
      </c>
      <c r="D450" s="1" t="s">
        <v>24</v>
      </c>
      <c r="E450" s="2">
        <v>0</v>
      </c>
      <c r="F450" s="1"/>
      <c r="G450" s="1"/>
      <c r="H450" s="2">
        <v>0</v>
      </c>
      <c r="I450" s="2">
        <v>0</v>
      </c>
      <c r="J450" s="1"/>
      <c r="K450" s="1" t="s">
        <v>28</v>
      </c>
      <c r="L450" s="1" t="s">
        <v>29</v>
      </c>
      <c r="M450" s="1" t="s">
        <v>134</v>
      </c>
      <c r="N450" s="1" t="s">
        <v>20</v>
      </c>
      <c r="O450" s="1" t="s">
        <v>28</v>
      </c>
      <c r="P450" s="1" t="s">
        <v>45</v>
      </c>
      <c r="Q450" s="1" t="s">
        <v>28</v>
      </c>
      <c r="R450" s="1" t="s">
        <v>136</v>
      </c>
      <c r="S450" s="1" t="s">
        <v>32</v>
      </c>
      <c r="T450" s="3" t="str">
        <f>Sheet4!H450</f>
        <v xml:space="preserve"> View Map </v>
      </c>
    </row>
    <row r="451" spans="1:20" ht="15" x14ac:dyDescent="0.25">
      <c r="A451" s="1" t="s">
        <v>1923</v>
      </c>
      <c r="B451" s="1" t="s">
        <v>1924</v>
      </c>
      <c r="C451" s="2">
        <v>2005</v>
      </c>
      <c r="D451" s="1" t="s">
        <v>24</v>
      </c>
      <c r="E451" s="2">
        <v>0</v>
      </c>
      <c r="F451" s="1" t="s">
        <v>1925</v>
      </c>
      <c r="G451" s="1" t="s">
        <v>1926</v>
      </c>
      <c r="H451" s="2">
        <v>200</v>
      </c>
      <c r="I451" s="2">
        <v>29000</v>
      </c>
      <c r="J451" s="1" t="s">
        <v>1927</v>
      </c>
      <c r="K451" s="2">
        <v>29000</v>
      </c>
      <c r="L451" s="1" t="s">
        <v>68</v>
      </c>
      <c r="M451" s="1" t="s">
        <v>69</v>
      </c>
      <c r="N451" s="1" t="s">
        <v>275</v>
      </c>
      <c r="O451" s="1" t="s">
        <v>297</v>
      </c>
      <c r="P451" s="1" t="s">
        <v>275</v>
      </c>
      <c r="Q451" s="1" t="s">
        <v>402</v>
      </c>
      <c r="R451" s="1" t="s">
        <v>275</v>
      </c>
      <c r="S451" s="1" t="s">
        <v>71</v>
      </c>
      <c r="T451" s="3" t="str">
        <f>Sheet4!H451</f>
        <v xml:space="preserve"> View Map </v>
      </c>
    </row>
    <row r="452" spans="1:20" ht="15" x14ac:dyDescent="0.25">
      <c r="A452" s="1" t="s">
        <v>1928</v>
      </c>
      <c r="B452" s="1" t="s">
        <v>1929</v>
      </c>
      <c r="C452" s="2">
        <v>2005</v>
      </c>
      <c r="D452" s="1" t="s">
        <v>24</v>
      </c>
      <c r="E452" s="2">
        <v>1</v>
      </c>
      <c r="F452" s="1" t="s">
        <v>1930</v>
      </c>
      <c r="G452" s="1"/>
      <c r="H452" s="2">
        <v>0</v>
      </c>
      <c r="I452" s="2">
        <v>45000</v>
      </c>
      <c r="J452" s="1" t="s">
        <v>1931</v>
      </c>
      <c r="K452" s="2">
        <v>45000</v>
      </c>
      <c r="L452" s="1" t="s">
        <v>29</v>
      </c>
      <c r="M452" s="1" t="s">
        <v>30</v>
      </c>
      <c r="N452" s="1" t="s">
        <v>20</v>
      </c>
      <c r="O452" s="1" t="s">
        <v>43</v>
      </c>
      <c r="P452" s="1" t="s">
        <v>20</v>
      </c>
      <c r="Q452" s="1" t="s">
        <v>21</v>
      </c>
      <c r="R452" s="1" t="s">
        <v>44</v>
      </c>
      <c r="S452" s="1" t="s">
        <v>32</v>
      </c>
      <c r="T452" s="3" t="str">
        <f>Sheet4!H452</f>
        <v xml:space="preserve"> View Map </v>
      </c>
    </row>
    <row r="453" spans="1:20" ht="15" x14ac:dyDescent="0.25">
      <c r="A453" s="1" t="s">
        <v>1932</v>
      </c>
      <c r="B453" s="1" t="s">
        <v>1933</v>
      </c>
      <c r="C453" s="2">
        <v>2005</v>
      </c>
      <c r="D453" s="1" t="s">
        <v>24</v>
      </c>
      <c r="E453" s="2">
        <v>1</v>
      </c>
      <c r="F453" s="1" t="s">
        <v>1608</v>
      </c>
      <c r="G453" s="1"/>
      <c r="H453" s="2">
        <v>5000</v>
      </c>
      <c r="I453" s="2">
        <v>90000</v>
      </c>
      <c r="J453" s="1" t="s">
        <v>1934</v>
      </c>
      <c r="K453" s="2">
        <v>61000</v>
      </c>
      <c r="L453" s="1" t="s">
        <v>29</v>
      </c>
      <c r="M453" s="1" t="s">
        <v>134</v>
      </c>
      <c r="N453" s="1" t="s">
        <v>20</v>
      </c>
      <c r="O453" s="1" t="s">
        <v>135</v>
      </c>
      <c r="P453" s="1" t="s">
        <v>20</v>
      </c>
      <c r="Q453" s="1" t="s">
        <v>129</v>
      </c>
      <c r="R453" s="1" t="s">
        <v>136</v>
      </c>
      <c r="S453" s="1" t="s">
        <v>32</v>
      </c>
      <c r="T453" s="3" t="str">
        <f>Sheet4!H453</f>
        <v xml:space="preserve"> View Map </v>
      </c>
    </row>
    <row r="454" spans="1:20" ht="15" x14ac:dyDescent="0.25">
      <c r="A454" s="1" t="s">
        <v>1935</v>
      </c>
      <c r="B454" s="1" t="s">
        <v>1936</v>
      </c>
      <c r="C454" s="2">
        <v>2021</v>
      </c>
      <c r="D454" s="1" t="s">
        <v>24</v>
      </c>
      <c r="E454" s="2">
        <v>0</v>
      </c>
      <c r="F454" s="1" t="s">
        <v>1937</v>
      </c>
      <c r="G454" s="1"/>
      <c r="H454" s="2">
        <v>4200</v>
      </c>
      <c r="I454" s="2">
        <v>0</v>
      </c>
      <c r="J454" s="1" t="s">
        <v>1938</v>
      </c>
      <c r="K454" s="1" t="s">
        <v>28</v>
      </c>
      <c r="L454" s="1" t="s">
        <v>29</v>
      </c>
      <c r="M454" s="1" t="s">
        <v>134</v>
      </c>
      <c r="N454" s="1" t="s">
        <v>1939</v>
      </c>
      <c r="O454" s="1" t="s">
        <v>1940</v>
      </c>
      <c r="P454" s="1" t="s">
        <v>153</v>
      </c>
      <c r="Q454" s="1" t="s">
        <v>193</v>
      </c>
      <c r="R454" s="1" t="s">
        <v>370</v>
      </c>
      <c r="S454" s="1" t="s">
        <v>32</v>
      </c>
      <c r="T454" s="3" t="str">
        <f>Sheet4!H454</f>
        <v xml:space="preserve"> View Map </v>
      </c>
    </row>
    <row r="455" spans="1:20" ht="15" x14ac:dyDescent="0.25">
      <c r="A455" s="1" t="s">
        <v>1941</v>
      </c>
      <c r="B455" s="1" t="s">
        <v>1942</v>
      </c>
      <c r="C455" s="2">
        <v>2005</v>
      </c>
      <c r="D455" s="1" t="s">
        <v>81</v>
      </c>
      <c r="E455" s="2">
        <v>0</v>
      </c>
      <c r="F455" s="1"/>
      <c r="G455" s="1"/>
      <c r="H455" s="2">
        <v>0</v>
      </c>
      <c r="I455" s="2">
        <v>0</v>
      </c>
      <c r="J455" s="1"/>
      <c r="K455" s="1" t="s">
        <v>28</v>
      </c>
      <c r="L455" s="1" t="s">
        <v>29</v>
      </c>
      <c r="M455" s="1" t="s">
        <v>30</v>
      </c>
      <c r="N455" s="1" t="s">
        <v>53</v>
      </c>
      <c r="O455" s="1" t="s">
        <v>28</v>
      </c>
      <c r="P455" s="1" t="s">
        <v>45</v>
      </c>
      <c r="Q455" s="1" t="s">
        <v>28</v>
      </c>
      <c r="R455" s="1" t="s">
        <v>738</v>
      </c>
      <c r="S455" s="1" t="s">
        <v>71</v>
      </c>
      <c r="T455" s="3" t="str">
        <f>Sheet4!H455</f>
        <v xml:space="preserve"> View Map </v>
      </c>
    </row>
    <row r="456" spans="1:20" ht="15" x14ac:dyDescent="0.25">
      <c r="A456" s="1" t="s">
        <v>1943</v>
      </c>
      <c r="B456" s="1" t="s">
        <v>1944</v>
      </c>
      <c r="C456" s="2">
        <v>2022</v>
      </c>
      <c r="D456" s="1" t="s">
        <v>24</v>
      </c>
      <c r="E456" s="2">
        <v>1</v>
      </c>
      <c r="F456" s="1" t="s">
        <v>1945</v>
      </c>
      <c r="G456" s="1" t="s">
        <v>1946</v>
      </c>
      <c r="H456" s="2">
        <v>250</v>
      </c>
      <c r="I456" s="2">
        <v>80000</v>
      </c>
      <c r="J456" s="1" t="s">
        <v>1947</v>
      </c>
      <c r="K456" s="1" t="s">
        <v>28</v>
      </c>
      <c r="L456" s="1" t="s">
        <v>68</v>
      </c>
      <c r="M456" s="1" t="s">
        <v>69</v>
      </c>
      <c r="N456" s="1" t="s">
        <v>162</v>
      </c>
      <c r="O456" s="1" t="s">
        <v>511</v>
      </c>
      <c r="P456" s="1" t="s">
        <v>162</v>
      </c>
      <c r="Q456" s="1" t="s">
        <v>506</v>
      </c>
      <c r="R456" s="1" t="s">
        <v>162</v>
      </c>
      <c r="S456" s="1" t="s">
        <v>71</v>
      </c>
      <c r="T456" s="3" t="str">
        <f>Sheet4!H456</f>
        <v xml:space="preserve"> View Map </v>
      </c>
    </row>
    <row r="457" spans="1:20" ht="15" x14ac:dyDescent="0.25">
      <c r="A457" s="1" t="s">
        <v>1948</v>
      </c>
      <c r="B457" s="1" t="s">
        <v>1949</v>
      </c>
      <c r="C457" s="2">
        <v>2005</v>
      </c>
      <c r="D457" s="1" t="s">
        <v>24</v>
      </c>
      <c r="E457" s="2">
        <v>0</v>
      </c>
      <c r="F457" s="1" t="s">
        <v>1950</v>
      </c>
      <c r="G457" s="1" t="s">
        <v>1950</v>
      </c>
      <c r="H457" s="2">
        <v>75</v>
      </c>
      <c r="I457" s="2">
        <v>23000</v>
      </c>
      <c r="J457" s="1" t="s">
        <v>1951</v>
      </c>
      <c r="K457" s="1" t="s">
        <v>28</v>
      </c>
      <c r="L457" s="1" t="s">
        <v>68</v>
      </c>
      <c r="M457" s="1" t="s">
        <v>69</v>
      </c>
      <c r="N457" s="1" t="s">
        <v>275</v>
      </c>
      <c r="O457" s="1" t="s">
        <v>297</v>
      </c>
      <c r="P457" s="1" t="s">
        <v>275</v>
      </c>
      <c r="Q457" s="1" t="s">
        <v>275</v>
      </c>
      <c r="R457" s="1" t="s">
        <v>275</v>
      </c>
      <c r="S457" s="1" t="s">
        <v>32</v>
      </c>
      <c r="T457" s="3" t="str">
        <f>Sheet4!H457</f>
        <v xml:space="preserve"> View Map </v>
      </c>
    </row>
    <row r="458" spans="1:20" ht="15" x14ac:dyDescent="0.25">
      <c r="A458" s="1" t="s">
        <v>1952</v>
      </c>
      <c r="B458" s="1" t="s">
        <v>1953</v>
      </c>
      <c r="C458" s="2">
        <v>2024</v>
      </c>
      <c r="D458" s="1" t="s">
        <v>24</v>
      </c>
      <c r="E458" s="2">
        <v>0</v>
      </c>
      <c r="F458" s="1" t="s">
        <v>1954</v>
      </c>
      <c r="G458" s="1"/>
      <c r="H458" s="2">
        <v>0</v>
      </c>
      <c r="I458" s="2">
        <v>25000</v>
      </c>
      <c r="J458" s="1" t="s">
        <v>1955</v>
      </c>
      <c r="K458" s="2">
        <v>25000</v>
      </c>
      <c r="L458" s="1" t="s">
        <v>51</v>
      </c>
      <c r="M458" s="1" t="s">
        <v>52</v>
      </c>
      <c r="N458" s="1" t="s">
        <v>53</v>
      </c>
      <c r="O458" s="1" t="s">
        <v>121</v>
      </c>
      <c r="P458" s="1" t="s">
        <v>45</v>
      </c>
      <c r="Q458" s="1" t="s">
        <v>53</v>
      </c>
      <c r="R458" s="1" t="s">
        <v>443</v>
      </c>
      <c r="S458" s="1" t="s">
        <v>71</v>
      </c>
      <c r="T458" s="3" t="str">
        <f>Sheet4!H458</f>
        <v xml:space="preserve"> View Map </v>
      </c>
    </row>
    <row r="459" spans="1:20" ht="15" x14ac:dyDescent="0.25">
      <c r="A459" s="1" t="s">
        <v>1956</v>
      </c>
      <c r="B459" s="1" t="s">
        <v>1957</v>
      </c>
      <c r="C459" s="2">
        <v>2005</v>
      </c>
      <c r="D459" s="1" t="s">
        <v>24</v>
      </c>
      <c r="E459" s="2">
        <v>1</v>
      </c>
      <c r="F459" s="1" t="s">
        <v>1958</v>
      </c>
      <c r="G459" s="1" t="s">
        <v>1958</v>
      </c>
      <c r="H459" s="2">
        <v>126</v>
      </c>
      <c r="I459" s="2">
        <v>114400</v>
      </c>
      <c r="J459" s="1" t="s">
        <v>1959</v>
      </c>
      <c r="K459" s="2">
        <v>114400</v>
      </c>
      <c r="L459" s="1" t="s">
        <v>68</v>
      </c>
      <c r="M459" s="1" t="s">
        <v>69</v>
      </c>
      <c r="N459" s="1" t="s">
        <v>275</v>
      </c>
      <c r="O459" s="1" t="s">
        <v>1833</v>
      </c>
      <c r="P459" s="1" t="s">
        <v>275</v>
      </c>
      <c r="Q459" s="1" t="s">
        <v>275</v>
      </c>
      <c r="R459" s="1" t="s">
        <v>275</v>
      </c>
      <c r="S459" s="1" t="s">
        <v>32</v>
      </c>
      <c r="T459" s="3" t="str">
        <f>Sheet4!H459</f>
        <v xml:space="preserve"> View Map </v>
      </c>
    </row>
    <row r="460" spans="1:20" ht="15" x14ac:dyDescent="0.25">
      <c r="A460" s="1" t="s">
        <v>1960</v>
      </c>
      <c r="B460" s="1" t="s">
        <v>1961</v>
      </c>
      <c r="C460" s="2">
        <v>2021</v>
      </c>
      <c r="D460" s="1" t="s">
        <v>24</v>
      </c>
      <c r="E460" s="2">
        <v>0</v>
      </c>
      <c r="F460" s="1" t="s">
        <v>1962</v>
      </c>
      <c r="G460" s="1"/>
      <c r="H460" s="2">
        <v>0</v>
      </c>
      <c r="I460" s="2">
        <v>5000</v>
      </c>
      <c r="J460" s="1" t="s">
        <v>1963</v>
      </c>
      <c r="K460" s="1" t="s">
        <v>28</v>
      </c>
      <c r="L460" s="1" t="s">
        <v>68</v>
      </c>
      <c r="M460" s="1" t="s">
        <v>69</v>
      </c>
      <c r="N460" s="1" t="s">
        <v>275</v>
      </c>
      <c r="O460" s="1" t="s">
        <v>1060</v>
      </c>
      <c r="P460" s="1" t="s">
        <v>275</v>
      </c>
      <c r="Q460" s="1" t="s">
        <v>275</v>
      </c>
      <c r="R460" s="1" t="s">
        <v>275</v>
      </c>
      <c r="S460" s="1" t="s">
        <v>32</v>
      </c>
      <c r="T460" s="3" t="str">
        <f>Sheet4!H460</f>
        <v xml:space="preserve"> View Map </v>
      </c>
    </row>
    <row r="461" spans="1:20" ht="15" x14ac:dyDescent="0.25">
      <c r="A461" s="1" t="s">
        <v>1964</v>
      </c>
      <c r="B461" s="1" t="s">
        <v>1965</v>
      </c>
      <c r="C461" s="2">
        <v>2005</v>
      </c>
      <c r="D461" s="1" t="s">
        <v>24</v>
      </c>
      <c r="E461" s="2">
        <v>0</v>
      </c>
      <c r="F461" s="1"/>
      <c r="G461" s="1" t="s">
        <v>1966</v>
      </c>
      <c r="H461" s="2">
        <v>250</v>
      </c>
      <c r="I461" s="2">
        <v>0</v>
      </c>
      <c r="J461" s="1" t="s">
        <v>1967</v>
      </c>
      <c r="K461" s="1" t="s">
        <v>28</v>
      </c>
      <c r="L461" s="1" t="s">
        <v>68</v>
      </c>
      <c r="M461" s="1" t="s">
        <v>69</v>
      </c>
      <c r="N461" s="1" t="s">
        <v>72</v>
      </c>
      <c r="O461" s="1" t="s">
        <v>1968</v>
      </c>
      <c r="P461" s="1" t="s">
        <v>72</v>
      </c>
      <c r="Q461" s="1" t="s">
        <v>811</v>
      </c>
      <c r="R461" s="1" t="s">
        <v>72</v>
      </c>
      <c r="S461" s="1" t="s">
        <v>71</v>
      </c>
      <c r="T461" s="3" t="str">
        <f>Sheet4!H461</f>
        <v xml:space="preserve"> View Map </v>
      </c>
    </row>
    <row r="462" spans="1:20" ht="15" x14ac:dyDescent="0.25">
      <c r="A462" s="1" t="s">
        <v>1969</v>
      </c>
      <c r="B462" s="1" t="s">
        <v>1970</v>
      </c>
      <c r="C462" s="2">
        <v>2016</v>
      </c>
      <c r="D462" s="1" t="s">
        <v>24</v>
      </c>
      <c r="E462" s="2">
        <v>1</v>
      </c>
      <c r="F462" s="1" t="s">
        <v>1971</v>
      </c>
      <c r="G462" s="1" t="s">
        <v>1972</v>
      </c>
      <c r="H462" s="2">
        <v>800</v>
      </c>
      <c r="I462" s="2">
        <v>50000</v>
      </c>
      <c r="J462" s="1" t="s">
        <v>1973</v>
      </c>
      <c r="K462" s="2">
        <v>50000</v>
      </c>
      <c r="L462" s="1" t="s">
        <v>51</v>
      </c>
      <c r="M462" s="1" t="s">
        <v>52</v>
      </c>
      <c r="N462" s="1" t="s">
        <v>53</v>
      </c>
      <c r="O462" s="1" t="s">
        <v>1867</v>
      </c>
      <c r="P462" s="1" t="s">
        <v>45</v>
      </c>
      <c r="Q462" s="1" t="s">
        <v>53</v>
      </c>
      <c r="R462" s="1" t="s">
        <v>443</v>
      </c>
      <c r="S462" s="1" t="s">
        <v>71</v>
      </c>
      <c r="T462" s="3" t="str">
        <f>Sheet4!H462</f>
        <v xml:space="preserve"> View Map </v>
      </c>
    </row>
    <row r="463" spans="1:20" ht="15" x14ac:dyDescent="0.25">
      <c r="A463" s="1" t="s">
        <v>1974</v>
      </c>
      <c r="B463" s="1" t="s">
        <v>1975</v>
      </c>
      <c r="C463" s="2">
        <v>1927</v>
      </c>
      <c r="D463" s="1" t="s">
        <v>24</v>
      </c>
      <c r="E463" s="2">
        <v>1</v>
      </c>
      <c r="F463" s="1" t="s">
        <v>1976</v>
      </c>
      <c r="G463" s="1" t="s">
        <v>1975</v>
      </c>
      <c r="H463" s="2">
        <v>2900</v>
      </c>
      <c r="I463" s="2">
        <v>23000</v>
      </c>
      <c r="J463" s="1" t="s">
        <v>1977</v>
      </c>
      <c r="K463" s="2">
        <v>23000</v>
      </c>
      <c r="L463" s="1" t="s">
        <v>51</v>
      </c>
      <c r="M463" s="1" t="s">
        <v>52</v>
      </c>
      <c r="N463" s="1" t="s">
        <v>20</v>
      </c>
      <c r="O463" s="1" t="s">
        <v>43</v>
      </c>
      <c r="P463" s="1" t="s">
        <v>20</v>
      </c>
      <c r="Q463" s="1" t="s">
        <v>21</v>
      </c>
      <c r="R463" s="1" t="s">
        <v>607</v>
      </c>
      <c r="S463" s="1" t="s">
        <v>71</v>
      </c>
      <c r="T463" s="3" t="str">
        <f>Sheet4!H463</f>
        <v xml:space="preserve"> View Map </v>
      </c>
    </row>
    <row r="464" spans="1:20" ht="15" x14ac:dyDescent="0.25">
      <c r="A464" s="1" t="s">
        <v>1978</v>
      </c>
      <c r="B464" s="1" t="s">
        <v>1979</v>
      </c>
      <c r="C464" s="2">
        <v>2005</v>
      </c>
      <c r="D464" s="1" t="s">
        <v>81</v>
      </c>
      <c r="E464" s="2">
        <v>0</v>
      </c>
      <c r="F464" s="1"/>
      <c r="G464" s="1"/>
      <c r="H464" s="2">
        <v>0</v>
      </c>
      <c r="I464" s="2">
        <v>0</v>
      </c>
      <c r="J464" s="1"/>
      <c r="K464" s="1" t="s">
        <v>28</v>
      </c>
      <c r="L464" s="1" t="s">
        <v>51</v>
      </c>
      <c r="M464" s="1" t="s">
        <v>28</v>
      </c>
      <c r="N464" s="1" t="s">
        <v>20</v>
      </c>
      <c r="O464" s="1" t="s">
        <v>28</v>
      </c>
      <c r="P464" s="1" t="s">
        <v>45</v>
      </c>
      <c r="Q464" s="1" t="s">
        <v>28</v>
      </c>
      <c r="R464" s="1" t="s">
        <v>293</v>
      </c>
      <c r="S464" s="1" t="s">
        <v>71</v>
      </c>
      <c r="T464" s="3" t="str">
        <f>Sheet4!H464</f>
        <v xml:space="preserve"> View Map </v>
      </c>
    </row>
    <row r="465" spans="1:20" ht="15" x14ac:dyDescent="0.25">
      <c r="A465" s="1" t="s">
        <v>1980</v>
      </c>
      <c r="B465" s="1" t="s">
        <v>1981</v>
      </c>
      <c r="C465" s="2">
        <v>2017</v>
      </c>
      <c r="D465" s="1" t="s">
        <v>24</v>
      </c>
      <c r="E465" s="2">
        <v>1</v>
      </c>
      <c r="F465" s="1" t="s">
        <v>1982</v>
      </c>
      <c r="G465" s="1" t="s">
        <v>1431</v>
      </c>
      <c r="H465" s="2">
        <v>1210</v>
      </c>
      <c r="I465" s="2">
        <v>55000</v>
      </c>
      <c r="J465" s="1" t="s">
        <v>1983</v>
      </c>
      <c r="K465" s="2">
        <v>55000</v>
      </c>
      <c r="L465" s="1" t="s">
        <v>51</v>
      </c>
      <c r="M465" s="1" t="s">
        <v>159</v>
      </c>
      <c r="N465" s="1" t="s">
        <v>160</v>
      </c>
      <c r="O465" s="1" t="s">
        <v>1431</v>
      </c>
      <c r="P465" s="1" t="s">
        <v>153</v>
      </c>
      <c r="Q465" s="1" t="s">
        <v>154</v>
      </c>
      <c r="R465" s="1" t="s">
        <v>459</v>
      </c>
      <c r="S465" s="1" t="s">
        <v>1984</v>
      </c>
      <c r="T465" s="3" t="str">
        <f>Sheet4!H465</f>
        <v xml:space="preserve"> View Map </v>
      </c>
    </row>
    <row r="466" spans="1:20" ht="15" x14ac:dyDescent="0.25">
      <c r="A466" s="1" t="s">
        <v>1985</v>
      </c>
      <c r="B466" s="1" t="s">
        <v>1986</v>
      </c>
      <c r="C466" s="2">
        <v>1927</v>
      </c>
      <c r="D466" s="1" t="s">
        <v>24</v>
      </c>
      <c r="E466" s="2">
        <v>1</v>
      </c>
      <c r="F466" s="1" t="s">
        <v>1987</v>
      </c>
      <c r="G466" s="1" t="s">
        <v>1988</v>
      </c>
      <c r="H466" s="2">
        <v>4200</v>
      </c>
      <c r="I466" s="2">
        <v>42000</v>
      </c>
      <c r="J466" s="1" t="s">
        <v>1989</v>
      </c>
      <c r="K466" s="2">
        <v>42000</v>
      </c>
      <c r="L466" s="1" t="s">
        <v>29</v>
      </c>
      <c r="M466" s="1" t="s">
        <v>134</v>
      </c>
      <c r="N466" s="1" t="s">
        <v>160</v>
      </c>
      <c r="O466" s="1" t="s">
        <v>582</v>
      </c>
      <c r="P466" s="1" t="s">
        <v>153</v>
      </c>
      <c r="Q466" s="1" t="s">
        <v>153</v>
      </c>
      <c r="R466" s="1" t="s">
        <v>192</v>
      </c>
      <c r="S466" s="1" t="s">
        <v>71</v>
      </c>
      <c r="T466" s="3" t="str">
        <f>Sheet4!H466</f>
        <v xml:space="preserve"> View Map </v>
      </c>
    </row>
    <row r="467" spans="1:20" ht="15" x14ac:dyDescent="0.25">
      <c r="A467" s="1" t="s">
        <v>1990</v>
      </c>
      <c r="B467" s="1" t="s">
        <v>1991</v>
      </c>
      <c r="C467" s="2">
        <v>2025</v>
      </c>
      <c r="D467" s="1" t="s">
        <v>24</v>
      </c>
      <c r="E467" s="2">
        <v>1</v>
      </c>
      <c r="F467" s="1" t="s">
        <v>1992</v>
      </c>
      <c r="G467" s="1" t="s">
        <v>1025</v>
      </c>
      <c r="H467" s="2">
        <v>30</v>
      </c>
      <c r="I467" s="2">
        <v>32000</v>
      </c>
      <c r="J467" s="1" t="s">
        <v>1993</v>
      </c>
      <c r="K467" s="2">
        <v>32000</v>
      </c>
      <c r="L467" s="1" t="s">
        <v>68</v>
      </c>
      <c r="M467" s="1" t="s">
        <v>69</v>
      </c>
      <c r="N467" s="1" t="s">
        <v>72</v>
      </c>
      <c r="O467" s="1" t="s">
        <v>644</v>
      </c>
      <c r="P467" s="1" t="s">
        <v>72</v>
      </c>
      <c r="Q467" s="1" t="s">
        <v>811</v>
      </c>
      <c r="R467" s="1" t="s">
        <v>72</v>
      </c>
      <c r="S467" s="1" t="s">
        <v>71</v>
      </c>
      <c r="T467" s="3" t="str">
        <f>Sheet4!H467</f>
        <v xml:space="preserve"> View Map </v>
      </c>
    </row>
    <row r="468" spans="1:20" ht="15" x14ac:dyDescent="0.25">
      <c r="A468" s="1" t="s">
        <v>1994</v>
      </c>
      <c r="B468" s="1" t="s">
        <v>1995</v>
      </c>
      <c r="C468" s="2">
        <v>2013</v>
      </c>
      <c r="D468" s="1" t="s">
        <v>24</v>
      </c>
      <c r="E468" s="2">
        <v>1</v>
      </c>
      <c r="F468" s="1" t="s">
        <v>114</v>
      </c>
      <c r="G468" s="1"/>
      <c r="H468" s="2">
        <v>370</v>
      </c>
      <c r="I468" s="2">
        <v>65000</v>
      </c>
      <c r="J468" s="1" t="s">
        <v>1996</v>
      </c>
      <c r="K468" s="2">
        <v>65000</v>
      </c>
      <c r="L468" s="1" t="s">
        <v>68</v>
      </c>
      <c r="M468" s="1" t="s">
        <v>69</v>
      </c>
      <c r="N468" s="1" t="s">
        <v>72</v>
      </c>
      <c r="O468" s="1" t="s">
        <v>78</v>
      </c>
      <c r="P468" s="1" t="s">
        <v>72</v>
      </c>
      <c r="Q468" s="1" t="s">
        <v>73</v>
      </c>
      <c r="R468" s="1" t="s">
        <v>73</v>
      </c>
      <c r="S468" s="1" t="s">
        <v>71</v>
      </c>
      <c r="T468" s="3" t="str">
        <f>Sheet4!H468</f>
        <v xml:space="preserve"> View Map </v>
      </c>
    </row>
    <row r="469" spans="1:20" ht="15" x14ac:dyDescent="0.25">
      <c r="A469" s="1" t="s">
        <v>1997</v>
      </c>
      <c r="B469" s="1" t="s">
        <v>1998</v>
      </c>
      <c r="C469" s="2">
        <v>2021</v>
      </c>
      <c r="D469" s="1" t="s">
        <v>24</v>
      </c>
      <c r="E469" s="2">
        <v>0</v>
      </c>
      <c r="F469" s="1"/>
      <c r="G469" s="1"/>
      <c r="H469" s="2">
        <v>0</v>
      </c>
      <c r="I469" s="2">
        <v>0</v>
      </c>
      <c r="J469" s="1" t="s">
        <v>1999</v>
      </c>
      <c r="K469" s="1" t="s">
        <v>28</v>
      </c>
      <c r="L469" s="1" t="s">
        <v>29</v>
      </c>
      <c r="M469" s="1" t="s">
        <v>30</v>
      </c>
      <c r="N469" s="1" t="s">
        <v>20</v>
      </c>
      <c r="O469" s="1" t="s">
        <v>737</v>
      </c>
      <c r="P469" s="1" t="s">
        <v>20</v>
      </c>
      <c r="Q469" s="1" t="s">
        <v>168</v>
      </c>
      <c r="R469" s="1" t="s">
        <v>174</v>
      </c>
      <c r="S469" s="1" t="s">
        <v>32</v>
      </c>
      <c r="T469" s="3" t="str">
        <f>Sheet4!H469</f>
        <v xml:space="preserve"> View Map </v>
      </c>
    </row>
    <row r="470" spans="1:20" ht="15" x14ac:dyDescent="0.25">
      <c r="A470" s="1" t="s">
        <v>2000</v>
      </c>
      <c r="B470" s="1" t="s">
        <v>2001</v>
      </c>
      <c r="C470" s="2">
        <v>2021</v>
      </c>
      <c r="D470" s="1" t="s">
        <v>24</v>
      </c>
      <c r="E470" s="2">
        <v>1</v>
      </c>
      <c r="F470" s="1" t="s">
        <v>749</v>
      </c>
      <c r="G470" s="1" t="s">
        <v>965</v>
      </c>
      <c r="H470" s="2">
        <v>4300</v>
      </c>
      <c r="I470" s="2">
        <v>19540</v>
      </c>
      <c r="J470" s="1" t="s">
        <v>2002</v>
      </c>
      <c r="K470" s="2">
        <v>19540</v>
      </c>
      <c r="L470" s="1" t="s">
        <v>29</v>
      </c>
      <c r="M470" s="1" t="s">
        <v>30</v>
      </c>
      <c r="N470" s="1" t="s">
        <v>20</v>
      </c>
      <c r="O470" s="1" t="s">
        <v>173</v>
      </c>
      <c r="P470" s="1" t="s">
        <v>20</v>
      </c>
      <c r="Q470" s="1" t="s">
        <v>179</v>
      </c>
      <c r="R470" s="1" t="s">
        <v>738</v>
      </c>
      <c r="S470" s="1" t="s">
        <v>32</v>
      </c>
      <c r="T470" s="3" t="str">
        <f>Sheet4!H470</f>
        <v xml:space="preserve"> View Map </v>
      </c>
    </row>
    <row r="471" spans="1:20" ht="15" x14ac:dyDescent="0.25">
      <c r="A471" s="1" t="s">
        <v>2003</v>
      </c>
      <c r="B471" s="1" t="s">
        <v>2004</v>
      </c>
      <c r="C471" s="2">
        <v>2005</v>
      </c>
      <c r="D471" s="1" t="s">
        <v>24</v>
      </c>
      <c r="E471" s="2">
        <v>0</v>
      </c>
      <c r="F471" s="1" t="s">
        <v>2005</v>
      </c>
      <c r="G471" s="1"/>
      <c r="H471" s="2">
        <v>4200</v>
      </c>
      <c r="I471" s="2">
        <v>40000</v>
      </c>
      <c r="J471" s="1" t="s">
        <v>2006</v>
      </c>
      <c r="K471" s="2">
        <v>24500</v>
      </c>
      <c r="L471" s="1" t="s">
        <v>29</v>
      </c>
      <c r="M471" s="1" t="s">
        <v>134</v>
      </c>
      <c r="N471" s="1" t="s">
        <v>160</v>
      </c>
      <c r="O471" s="1" t="s">
        <v>944</v>
      </c>
      <c r="P471" s="1" t="s">
        <v>153</v>
      </c>
      <c r="Q471" s="1" t="s">
        <v>193</v>
      </c>
      <c r="R471" s="1" t="s">
        <v>945</v>
      </c>
      <c r="S471" s="1" t="s">
        <v>32</v>
      </c>
      <c r="T471" s="3" t="str">
        <f>Sheet4!H471</f>
        <v xml:space="preserve"> View Map </v>
      </c>
    </row>
    <row r="472" spans="1:20" ht="15" x14ac:dyDescent="0.25">
      <c r="A472" s="1" t="s">
        <v>2007</v>
      </c>
      <c r="B472" s="1" t="s">
        <v>192</v>
      </c>
      <c r="C472" s="2">
        <v>2005</v>
      </c>
      <c r="D472" s="1" t="s">
        <v>24</v>
      </c>
      <c r="E472" s="2">
        <v>1</v>
      </c>
      <c r="F472" s="1" t="s">
        <v>1713</v>
      </c>
      <c r="G472" s="1"/>
      <c r="H472" s="2">
        <v>4650</v>
      </c>
      <c r="I472" s="2">
        <v>60000</v>
      </c>
      <c r="J472" s="1" t="s">
        <v>2008</v>
      </c>
      <c r="K472" s="2">
        <v>55000</v>
      </c>
      <c r="L472" s="1" t="s">
        <v>29</v>
      </c>
      <c r="M472" s="1" t="s">
        <v>134</v>
      </c>
      <c r="N472" s="1" t="s">
        <v>160</v>
      </c>
      <c r="O472" s="1" t="s">
        <v>582</v>
      </c>
      <c r="P472" s="1" t="s">
        <v>153</v>
      </c>
      <c r="Q472" s="1" t="s">
        <v>153</v>
      </c>
      <c r="R472" s="1" t="s">
        <v>192</v>
      </c>
      <c r="S472" s="1" t="s">
        <v>32</v>
      </c>
      <c r="T472" s="3" t="str">
        <f>Sheet4!H472</f>
        <v xml:space="preserve"> View Map </v>
      </c>
    </row>
    <row r="473" spans="1:20" ht="15" x14ac:dyDescent="0.25">
      <c r="A473" s="1" t="s">
        <v>2009</v>
      </c>
      <c r="B473" s="1" t="s">
        <v>2010</v>
      </c>
      <c r="C473" s="2">
        <v>2005</v>
      </c>
      <c r="D473" s="1" t="s">
        <v>24</v>
      </c>
      <c r="E473" s="2">
        <v>1</v>
      </c>
      <c r="F473" s="1" t="s">
        <v>2011</v>
      </c>
      <c r="G473" s="1"/>
      <c r="H473" s="2">
        <v>0</v>
      </c>
      <c r="I473" s="2">
        <v>50000</v>
      </c>
      <c r="J473" s="1" t="s">
        <v>2012</v>
      </c>
      <c r="K473" s="2">
        <v>50000</v>
      </c>
      <c r="L473" s="1" t="s">
        <v>29</v>
      </c>
      <c r="M473" s="1" t="s">
        <v>30</v>
      </c>
      <c r="N473" s="1" t="s">
        <v>20</v>
      </c>
      <c r="O473" s="1" t="s">
        <v>43</v>
      </c>
      <c r="P473" s="1" t="s">
        <v>20</v>
      </c>
      <c r="Q473" s="1" t="s">
        <v>21</v>
      </c>
      <c r="R473" s="1" t="s">
        <v>607</v>
      </c>
      <c r="S473" s="1" t="s">
        <v>32</v>
      </c>
      <c r="T473" s="3" t="str">
        <f>Sheet4!H473</f>
        <v xml:space="preserve"> View Map </v>
      </c>
    </row>
    <row r="474" spans="1:20" ht="15" x14ac:dyDescent="0.25">
      <c r="A474" s="1" t="s">
        <v>2013</v>
      </c>
      <c r="B474" s="1" t="s">
        <v>2014</v>
      </c>
      <c r="C474" s="2">
        <v>2005</v>
      </c>
      <c r="D474" s="1" t="s">
        <v>24</v>
      </c>
      <c r="E474" s="2">
        <v>0</v>
      </c>
      <c r="F474" s="1"/>
      <c r="G474" s="1"/>
      <c r="H474" s="2">
        <v>0</v>
      </c>
      <c r="I474" s="2">
        <v>0</v>
      </c>
      <c r="J474" s="1" t="s">
        <v>2015</v>
      </c>
      <c r="K474" s="1" t="s">
        <v>28</v>
      </c>
      <c r="L474" s="1" t="s">
        <v>29</v>
      </c>
      <c r="M474" s="1" t="s">
        <v>134</v>
      </c>
      <c r="N474" s="1" t="s">
        <v>160</v>
      </c>
      <c r="O474" s="1" t="s">
        <v>28</v>
      </c>
      <c r="P474" s="1" t="s">
        <v>153</v>
      </c>
      <c r="Q474" s="1" t="s">
        <v>28</v>
      </c>
      <c r="R474" s="1" t="s">
        <v>588</v>
      </c>
      <c r="S474" s="1" t="s">
        <v>32</v>
      </c>
      <c r="T474" s="3" t="str">
        <f>Sheet4!H474</f>
        <v xml:space="preserve"> View Map </v>
      </c>
    </row>
    <row r="475" spans="1:20" ht="15" x14ac:dyDescent="0.25">
      <c r="A475" s="1" t="s">
        <v>2016</v>
      </c>
      <c r="B475" s="1" t="s">
        <v>2017</v>
      </c>
      <c r="C475" s="2">
        <v>2005</v>
      </c>
      <c r="D475" s="1" t="s">
        <v>24</v>
      </c>
      <c r="E475" s="2">
        <v>1</v>
      </c>
      <c r="F475" s="1" t="s">
        <v>2018</v>
      </c>
      <c r="G475" s="1"/>
      <c r="H475" s="2">
        <v>0</v>
      </c>
      <c r="I475" s="2">
        <v>60750</v>
      </c>
      <c r="J475" s="1" t="s">
        <v>2019</v>
      </c>
      <c r="K475" s="2">
        <v>60750</v>
      </c>
      <c r="L475" s="1" t="s">
        <v>29</v>
      </c>
      <c r="M475" s="1" t="s">
        <v>134</v>
      </c>
      <c r="N475" s="1" t="s">
        <v>160</v>
      </c>
      <c r="O475" s="1" t="s">
        <v>199</v>
      </c>
      <c r="P475" s="1" t="s">
        <v>153</v>
      </c>
      <c r="Q475" s="1" t="s">
        <v>193</v>
      </c>
      <c r="R475" s="1" t="s">
        <v>945</v>
      </c>
      <c r="S475" s="1" t="s">
        <v>32</v>
      </c>
      <c r="T475" s="3" t="str">
        <f>Sheet4!H475</f>
        <v xml:space="preserve"> View Map </v>
      </c>
    </row>
    <row r="476" spans="1:20" ht="15" x14ac:dyDescent="0.25">
      <c r="A476" s="1" t="s">
        <v>2020</v>
      </c>
      <c r="B476" s="1" t="s">
        <v>2021</v>
      </c>
      <c r="C476" s="2">
        <v>2005</v>
      </c>
      <c r="D476" s="1" t="s">
        <v>24</v>
      </c>
      <c r="E476" s="2">
        <v>1</v>
      </c>
      <c r="F476" s="1" t="s">
        <v>28</v>
      </c>
      <c r="G476" s="1"/>
      <c r="H476" s="2">
        <v>0</v>
      </c>
      <c r="I476" s="2">
        <v>110000</v>
      </c>
      <c r="J476" s="1" t="s">
        <v>2022</v>
      </c>
      <c r="K476" s="2">
        <v>110000</v>
      </c>
      <c r="L476" s="1" t="s">
        <v>51</v>
      </c>
      <c r="M476" s="1" t="s">
        <v>159</v>
      </c>
      <c r="N476" s="1" t="s">
        <v>160</v>
      </c>
      <c r="O476" s="1" t="s">
        <v>28</v>
      </c>
      <c r="P476" s="1" t="s">
        <v>153</v>
      </c>
      <c r="Q476" s="1" t="s">
        <v>184</v>
      </c>
      <c r="R476" s="1" t="s">
        <v>188</v>
      </c>
      <c r="S476" s="1" t="s">
        <v>32</v>
      </c>
      <c r="T476" s="3" t="str">
        <f>Sheet4!H476</f>
        <v xml:space="preserve"> View Map </v>
      </c>
    </row>
    <row r="477" spans="1:20" ht="15" x14ac:dyDescent="0.25">
      <c r="A477" s="1" t="s">
        <v>2023</v>
      </c>
      <c r="B477" s="1" t="s">
        <v>2024</v>
      </c>
      <c r="C477" s="2">
        <v>2005</v>
      </c>
      <c r="D477" s="1" t="s">
        <v>24</v>
      </c>
      <c r="E477" s="2">
        <v>0</v>
      </c>
      <c r="F477" s="1" t="s">
        <v>2025</v>
      </c>
      <c r="G477" s="1"/>
      <c r="H477" s="2">
        <v>0</v>
      </c>
      <c r="I477" s="2">
        <v>11000</v>
      </c>
      <c r="J477" s="1" t="s">
        <v>2026</v>
      </c>
      <c r="K477" s="1" t="s">
        <v>28</v>
      </c>
      <c r="L477" s="1" t="s">
        <v>68</v>
      </c>
      <c r="M477" s="1" t="s">
        <v>69</v>
      </c>
      <c r="N477" s="1" t="s">
        <v>162</v>
      </c>
      <c r="O477" s="1" t="s">
        <v>693</v>
      </c>
      <c r="P477" s="1" t="s">
        <v>162</v>
      </c>
      <c r="Q477" s="1" t="s">
        <v>516</v>
      </c>
      <c r="R477" s="1" t="s">
        <v>561</v>
      </c>
      <c r="S477" s="1" t="s">
        <v>71</v>
      </c>
      <c r="T477" s="3" t="str">
        <f>Sheet4!H477</f>
        <v xml:space="preserve"> View Map </v>
      </c>
    </row>
    <row r="478" spans="1:20" ht="15" x14ac:dyDescent="0.25">
      <c r="A478" s="1" t="s">
        <v>2027</v>
      </c>
      <c r="B478" s="1" t="s">
        <v>2028</v>
      </c>
      <c r="C478" s="2">
        <v>2005</v>
      </c>
      <c r="D478" s="1" t="s">
        <v>24</v>
      </c>
      <c r="E478" s="2">
        <v>1</v>
      </c>
      <c r="F478" s="1" t="s">
        <v>2029</v>
      </c>
      <c r="G478" s="1"/>
      <c r="H478" s="2">
        <v>3990</v>
      </c>
      <c r="I478" s="2">
        <v>75000</v>
      </c>
      <c r="J478" s="1" t="s">
        <v>2030</v>
      </c>
      <c r="K478" s="2">
        <v>36000</v>
      </c>
      <c r="L478" s="1" t="s">
        <v>51</v>
      </c>
      <c r="M478" s="1" t="s">
        <v>159</v>
      </c>
      <c r="N478" s="1" t="s">
        <v>160</v>
      </c>
      <c r="O478" s="1" t="s">
        <v>2031</v>
      </c>
      <c r="P478" s="1" t="s">
        <v>153</v>
      </c>
      <c r="Q478" s="1" t="s">
        <v>193</v>
      </c>
      <c r="R478" s="1" t="s">
        <v>945</v>
      </c>
      <c r="S478" s="1" t="s">
        <v>32</v>
      </c>
      <c r="T478" s="3" t="str">
        <f>Sheet4!H478</f>
        <v xml:space="preserve"> View Map </v>
      </c>
    </row>
    <row r="479" spans="1:20" ht="15" x14ac:dyDescent="0.25">
      <c r="A479" s="1" t="s">
        <v>2032</v>
      </c>
      <c r="B479" s="1" t="s">
        <v>2033</v>
      </c>
      <c r="C479" s="2">
        <v>2021</v>
      </c>
      <c r="D479" s="1" t="s">
        <v>24</v>
      </c>
      <c r="E479" s="2">
        <v>1</v>
      </c>
      <c r="F479" s="1" t="s">
        <v>2034</v>
      </c>
      <c r="G479" s="1" t="s">
        <v>1416</v>
      </c>
      <c r="H479" s="2">
        <v>4200</v>
      </c>
      <c r="I479" s="2">
        <v>50000</v>
      </c>
      <c r="J479" s="1" t="s">
        <v>2035</v>
      </c>
      <c r="K479" s="2">
        <v>50000</v>
      </c>
      <c r="L479" s="1" t="s">
        <v>29</v>
      </c>
      <c r="M479" s="1" t="s">
        <v>30</v>
      </c>
      <c r="N479" s="1" t="s">
        <v>20</v>
      </c>
      <c r="O479" s="1" t="s">
        <v>173</v>
      </c>
      <c r="P479" s="1" t="s">
        <v>20</v>
      </c>
      <c r="Q479" s="1" t="s">
        <v>168</v>
      </c>
      <c r="R479" s="1" t="s">
        <v>738</v>
      </c>
      <c r="S479" s="1" t="s">
        <v>32</v>
      </c>
      <c r="T479" s="3" t="str">
        <f>Sheet4!H479</f>
        <v xml:space="preserve"> View Map </v>
      </c>
    </row>
    <row r="480" spans="1:20" ht="15" x14ac:dyDescent="0.25">
      <c r="A480" s="1" t="s">
        <v>2036</v>
      </c>
      <c r="B480" s="1" t="s">
        <v>2037</v>
      </c>
      <c r="C480" s="2">
        <v>2005</v>
      </c>
      <c r="D480" s="1" t="s">
        <v>24</v>
      </c>
      <c r="E480" s="2">
        <v>1</v>
      </c>
      <c r="F480" s="1" t="s">
        <v>2038</v>
      </c>
      <c r="G480" s="1" t="s">
        <v>2039</v>
      </c>
      <c r="H480" s="2">
        <v>800</v>
      </c>
      <c r="I480" s="2">
        <v>66000</v>
      </c>
      <c r="J480" s="1" t="s">
        <v>2040</v>
      </c>
      <c r="K480" s="2">
        <v>66000</v>
      </c>
      <c r="L480" s="1" t="s">
        <v>68</v>
      </c>
      <c r="M480" s="1" t="s">
        <v>69</v>
      </c>
      <c r="N480" s="1" t="s">
        <v>72</v>
      </c>
      <c r="O480" s="1" t="s">
        <v>78</v>
      </c>
      <c r="P480" s="1" t="s">
        <v>72</v>
      </c>
      <c r="Q480" s="1" t="s">
        <v>593</v>
      </c>
      <c r="R480" s="1" t="s">
        <v>72</v>
      </c>
      <c r="S480" s="1" t="s">
        <v>32</v>
      </c>
      <c r="T480" s="3" t="str">
        <f>Sheet4!H480</f>
        <v xml:space="preserve"> View Map </v>
      </c>
    </row>
    <row r="481" spans="1:20" ht="15" x14ac:dyDescent="0.25">
      <c r="A481" s="1" t="s">
        <v>2041</v>
      </c>
      <c r="B481" s="1" t="s">
        <v>2042</v>
      </c>
      <c r="C481" s="2">
        <v>2015</v>
      </c>
      <c r="D481" s="1" t="s">
        <v>24</v>
      </c>
      <c r="E481" s="2">
        <v>1</v>
      </c>
      <c r="F481" s="1" t="s">
        <v>2043</v>
      </c>
      <c r="G481" s="1" t="s">
        <v>1112</v>
      </c>
      <c r="H481" s="2">
        <v>7</v>
      </c>
      <c r="I481" s="2">
        <v>35000</v>
      </c>
      <c r="J481" s="1" t="s">
        <v>2044</v>
      </c>
      <c r="K481" s="2">
        <v>35000</v>
      </c>
      <c r="L481" s="1" t="s">
        <v>68</v>
      </c>
      <c r="M481" s="1" t="s">
        <v>69</v>
      </c>
      <c r="N481" s="1" t="s">
        <v>275</v>
      </c>
      <c r="O481" s="1" t="s">
        <v>1833</v>
      </c>
      <c r="P481" s="1" t="s">
        <v>275</v>
      </c>
      <c r="Q481" s="1" t="s">
        <v>275</v>
      </c>
      <c r="R481" s="1" t="s">
        <v>275</v>
      </c>
      <c r="S481" s="1" t="s">
        <v>71</v>
      </c>
      <c r="T481" s="3" t="str">
        <f>Sheet4!H481</f>
        <v xml:space="preserve"> View Map </v>
      </c>
    </row>
    <row r="482" spans="1:20" ht="15" x14ac:dyDescent="0.25">
      <c r="A482" s="1" t="s">
        <v>2045</v>
      </c>
      <c r="B482" s="1" t="s">
        <v>2046</v>
      </c>
      <c r="C482" s="2">
        <v>2005</v>
      </c>
      <c r="D482" s="1" t="s">
        <v>81</v>
      </c>
      <c r="E482" s="2">
        <v>0</v>
      </c>
      <c r="F482" s="1"/>
      <c r="G482" s="1"/>
      <c r="H482" s="2">
        <v>0</v>
      </c>
      <c r="I482" s="2">
        <v>0</v>
      </c>
      <c r="J482" s="1"/>
      <c r="K482" s="1" t="s">
        <v>28</v>
      </c>
      <c r="L482" s="1" t="s">
        <v>51</v>
      </c>
      <c r="M482" s="1" t="s">
        <v>28</v>
      </c>
      <c r="N482" s="1" t="s">
        <v>53</v>
      </c>
      <c r="O482" s="1" t="s">
        <v>28</v>
      </c>
      <c r="P482" s="1" t="s">
        <v>45</v>
      </c>
      <c r="Q482" s="1" t="s">
        <v>28</v>
      </c>
      <c r="R482" s="1" t="s">
        <v>443</v>
      </c>
      <c r="S482" s="1" t="s">
        <v>56</v>
      </c>
      <c r="T482" s="3" t="str">
        <f>Sheet4!H482</f>
        <v xml:space="preserve"> View Map </v>
      </c>
    </row>
    <row r="483" spans="1:20" ht="15" x14ac:dyDescent="0.25">
      <c r="A483" s="1" t="s">
        <v>2048</v>
      </c>
      <c r="B483" s="1" t="s">
        <v>2049</v>
      </c>
      <c r="C483" s="2">
        <v>2019</v>
      </c>
      <c r="D483" s="1" t="s">
        <v>24</v>
      </c>
      <c r="E483" s="2">
        <v>1</v>
      </c>
      <c r="F483" s="1" t="s">
        <v>2050</v>
      </c>
      <c r="G483" s="1" t="s">
        <v>2051</v>
      </c>
      <c r="H483" s="2">
        <v>800</v>
      </c>
      <c r="I483" s="2">
        <v>60500</v>
      </c>
      <c r="J483" s="1" t="s">
        <v>2052</v>
      </c>
      <c r="K483" s="2">
        <v>60500</v>
      </c>
      <c r="L483" s="1" t="s">
        <v>68</v>
      </c>
      <c r="M483" s="1" t="s">
        <v>69</v>
      </c>
      <c r="N483" s="1" t="s">
        <v>72</v>
      </c>
      <c r="O483" s="1" t="s">
        <v>78</v>
      </c>
      <c r="P483" s="1" t="s">
        <v>72</v>
      </c>
      <c r="Q483" s="1" t="s">
        <v>2047</v>
      </c>
      <c r="R483" s="1" t="s">
        <v>645</v>
      </c>
      <c r="S483" s="1" t="s">
        <v>299</v>
      </c>
      <c r="T483" s="3" t="str">
        <f>Sheet4!H483</f>
        <v xml:space="preserve"> View Map </v>
      </c>
    </row>
    <row r="484" spans="1:20" ht="15" x14ac:dyDescent="0.25">
      <c r="A484" s="1" t="s">
        <v>2053</v>
      </c>
      <c r="B484" s="1" t="s">
        <v>2054</v>
      </c>
      <c r="C484" s="2">
        <v>2021</v>
      </c>
      <c r="D484" s="1" t="s">
        <v>24</v>
      </c>
      <c r="E484" s="2">
        <v>1</v>
      </c>
      <c r="F484" s="1" t="s">
        <v>2055</v>
      </c>
      <c r="G484" s="1" t="s">
        <v>171</v>
      </c>
      <c r="H484" s="2">
        <v>3800</v>
      </c>
      <c r="I484" s="2">
        <v>19000</v>
      </c>
      <c r="J484" s="1" t="s">
        <v>2056</v>
      </c>
      <c r="K484" s="1" t="s">
        <v>28</v>
      </c>
      <c r="L484" s="1" t="s">
        <v>29</v>
      </c>
      <c r="M484" s="1" t="s">
        <v>30</v>
      </c>
      <c r="N484" s="1" t="s">
        <v>20</v>
      </c>
      <c r="O484" s="1" t="s">
        <v>173</v>
      </c>
      <c r="P484" s="1" t="s">
        <v>20</v>
      </c>
      <c r="Q484" s="1" t="s">
        <v>168</v>
      </c>
      <c r="R484" s="1" t="s">
        <v>174</v>
      </c>
      <c r="S484" s="1" t="s">
        <v>32</v>
      </c>
      <c r="T484" s="3" t="str">
        <f>Sheet4!H484</f>
        <v xml:space="preserve"> View Map </v>
      </c>
    </row>
    <row r="485" spans="1:20" ht="15" x14ac:dyDescent="0.25">
      <c r="A485" s="1" t="s">
        <v>2057</v>
      </c>
      <c r="B485" s="1" t="s">
        <v>2058</v>
      </c>
      <c r="C485" s="2">
        <v>2005</v>
      </c>
      <c r="D485" s="1" t="s">
        <v>24</v>
      </c>
      <c r="E485" s="2">
        <v>0</v>
      </c>
      <c r="F485" s="1"/>
      <c r="G485" s="1" t="s">
        <v>2059</v>
      </c>
      <c r="H485" s="2">
        <v>200</v>
      </c>
      <c r="I485" s="2">
        <v>0</v>
      </c>
      <c r="J485" s="1" t="s">
        <v>2060</v>
      </c>
      <c r="K485" s="1" t="s">
        <v>28</v>
      </c>
      <c r="L485" s="1" t="s">
        <v>68</v>
      </c>
      <c r="M485" s="1" t="s">
        <v>69</v>
      </c>
      <c r="N485" s="1" t="s">
        <v>162</v>
      </c>
      <c r="O485" s="1" t="s">
        <v>1568</v>
      </c>
      <c r="P485" s="1" t="s">
        <v>162</v>
      </c>
      <c r="Q485" s="1" t="s">
        <v>162</v>
      </c>
      <c r="R485" s="1" t="s">
        <v>162</v>
      </c>
      <c r="S485" s="1" t="s">
        <v>71</v>
      </c>
      <c r="T485" s="3" t="str">
        <f>Sheet4!H485</f>
        <v xml:space="preserve"> View Map </v>
      </c>
    </row>
    <row r="486" spans="1:20" ht="15" x14ac:dyDescent="0.25">
      <c r="A486" s="1" t="s">
        <v>2061</v>
      </c>
      <c r="B486" s="1" t="s">
        <v>2062</v>
      </c>
      <c r="C486" s="2">
        <v>2024</v>
      </c>
      <c r="D486" s="1" t="s">
        <v>24</v>
      </c>
      <c r="E486" s="2">
        <v>1</v>
      </c>
      <c r="F486" s="1" t="s">
        <v>2063</v>
      </c>
      <c r="G486" s="1" t="s">
        <v>2064</v>
      </c>
      <c r="H486" s="2">
        <v>150</v>
      </c>
      <c r="I486" s="2">
        <v>33000</v>
      </c>
      <c r="J486" s="1" t="s">
        <v>643</v>
      </c>
      <c r="K486" s="2">
        <v>33000</v>
      </c>
      <c r="L486" s="1" t="s">
        <v>68</v>
      </c>
      <c r="M486" s="1" t="s">
        <v>69</v>
      </c>
      <c r="N486" s="1" t="s">
        <v>72</v>
      </c>
      <c r="O486" s="1" t="s">
        <v>644</v>
      </c>
      <c r="P486" s="1" t="s">
        <v>72</v>
      </c>
      <c r="Q486" s="1" t="s">
        <v>811</v>
      </c>
      <c r="R486" s="1" t="s">
        <v>72</v>
      </c>
      <c r="S486" s="1" t="s">
        <v>71</v>
      </c>
      <c r="T486" s="3" t="str">
        <f>Sheet4!H486</f>
        <v xml:space="preserve"> View Map </v>
      </c>
    </row>
    <row r="487" spans="1:20" ht="15" x14ac:dyDescent="0.25">
      <c r="A487" s="1" t="s">
        <v>2065</v>
      </c>
      <c r="B487" s="1" t="s">
        <v>2066</v>
      </c>
      <c r="C487" s="2">
        <v>2020</v>
      </c>
      <c r="D487" s="1" t="s">
        <v>24</v>
      </c>
      <c r="E487" s="2">
        <v>1</v>
      </c>
      <c r="F487" s="1" t="s">
        <v>2067</v>
      </c>
      <c r="G487" s="1"/>
      <c r="H487" s="2">
        <v>1300</v>
      </c>
      <c r="I487" s="2">
        <v>60000</v>
      </c>
      <c r="J487" s="1" t="s">
        <v>2068</v>
      </c>
      <c r="K487" s="1" t="s">
        <v>28</v>
      </c>
      <c r="L487" s="1" t="s">
        <v>51</v>
      </c>
      <c r="M487" s="1" t="s">
        <v>52</v>
      </c>
      <c r="N487" s="1" t="s">
        <v>53</v>
      </c>
      <c r="O487" s="1" t="s">
        <v>84</v>
      </c>
      <c r="P487" s="1" t="s">
        <v>45</v>
      </c>
      <c r="Q487" s="1" t="s">
        <v>45</v>
      </c>
      <c r="R487" s="1" t="s">
        <v>204</v>
      </c>
      <c r="S487" s="1" t="s">
        <v>71</v>
      </c>
      <c r="T487" s="3" t="str">
        <f>Sheet4!H487</f>
        <v xml:space="preserve"> View Map </v>
      </c>
    </row>
    <row r="488" spans="1:20" ht="15" x14ac:dyDescent="0.25">
      <c r="A488" s="1" t="s">
        <v>2069</v>
      </c>
      <c r="B488" s="1" t="s">
        <v>2070</v>
      </c>
      <c r="C488" s="2">
        <v>2021</v>
      </c>
      <c r="D488" s="1" t="s">
        <v>24</v>
      </c>
      <c r="E488" s="2">
        <v>1</v>
      </c>
      <c r="F488" s="1" t="s">
        <v>2070</v>
      </c>
      <c r="G488" s="1"/>
      <c r="H488" s="2">
        <v>1524</v>
      </c>
      <c r="I488" s="2">
        <v>72465</v>
      </c>
      <c r="J488" s="1" t="s">
        <v>2071</v>
      </c>
      <c r="K488" s="2">
        <v>72465</v>
      </c>
      <c r="L488" s="1" t="s">
        <v>29</v>
      </c>
      <c r="M488" s="1" t="s">
        <v>134</v>
      </c>
      <c r="N488" s="1" t="s">
        <v>20</v>
      </c>
      <c r="O488" s="1" t="s">
        <v>135</v>
      </c>
      <c r="P488" s="1" t="s">
        <v>20</v>
      </c>
      <c r="Q488" s="1" t="s">
        <v>129</v>
      </c>
      <c r="R488" s="1" t="s">
        <v>20</v>
      </c>
      <c r="S488" s="1" t="s">
        <v>71</v>
      </c>
      <c r="T488" s="3" t="str">
        <f>Sheet4!H488</f>
        <v xml:space="preserve"> View Map </v>
      </c>
    </row>
    <row r="489" spans="1:20" ht="15" x14ac:dyDescent="0.25">
      <c r="A489" s="1" t="s">
        <v>2072</v>
      </c>
      <c r="B489" s="1" t="s">
        <v>1419</v>
      </c>
      <c r="C489" s="2">
        <v>2005</v>
      </c>
      <c r="D489" s="1" t="s">
        <v>24</v>
      </c>
      <c r="E489" s="2">
        <v>1</v>
      </c>
      <c r="F489" s="1" t="s">
        <v>2073</v>
      </c>
      <c r="G489" s="1"/>
      <c r="H489" s="2">
        <v>0</v>
      </c>
      <c r="I489" s="2">
        <v>43000</v>
      </c>
      <c r="J489" s="1" t="s">
        <v>2074</v>
      </c>
      <c r="K489" s="2">
        <v>43000</v>
      </c>
      <c r="L489" s="1" t="s">
        <v>68</v>
      </c>
      <c r="M489" s="1" t="s">
        <v>69</v>
      </c>
      <c r="N489" s="1" t="s">
        <v>72</v>
      </c>
      <c r="O489" s="1" t="s">
        <v>644</v>
      </c>
      <c r="P489" s="1" t="s">
        <v>72</v>
      </c>
      <c r="Q489" s="1" t="s">
        <v>811</v>
      </c>
      <c r="R489" s="1" t="s">
        <v>72</v>
      </c>
      <c r="S489" s="1" t="s">
        <v>71</v>
      </c>
      <c r="T489" s="3" t="str">
        <f>Sheet4!H489</f>
        <v xml:space="preserve"> View Map </v>
      </c>
    </row>
    <row r="490" spans="1:20" ht="15" x14ac:dyDescent="0.25">
      <c r="A490" s="1" t="s">
        <v>2075</v>
      </c>
      <c r="B490" s="1" t="s">
        <v>2076</v>
      </c>
      <c r="C490" s="2">
        <v>2025</v>
      </c>
      <c r="D490" s="1" t="s">
        <v>24</v>
      </c>
      <c r="E490" s="2">
        <v>1</v>
      </c>
      <c r="F490" s="1" t="s">
        <v>2077</v>
      </c>
      <c r="G490" s="1"/>
      <c r="H490" s="2">
        <v>2525</v>
      </c>
      <c r="I490" s="2">
        <v>96000</v>
      </c>
      <c r="J490" s="1" t="s">
        <v>2078</v>
      </c>
      <c r="K490" s="2">
        <v>127000</v>
      </c>
      <c r="L490" s="1" t="s">
        <v>51</v>
      </c>
      <c r="M490" s="1" t="s">
        <v>52</v>
      </c>
      <c r="N490" s="1" t="s">
        <v>53</v>
      </c>
      <c r="O490" s="1" t="s">
        <v>54</v>
      </c>
      <c r="P490" s="1" t="s">
        <v>45</v>
      </c>
      <c r="Q490" s="1" t="s">
        <v>46</v>
      </c>
      <c r="R490" s="1" t="s">
        <v>55</v>
      </c>
      <c r="S490" s="1" t="s">
        <v>71</v>
      </c>
      <c r="T490" s="3" t="str">
        <f>Sheet4!H490</f>
        <v xml:space="preserve"> View Map </v>
      </c>
    </row>
    <row r="491" spans="1:20" ht="15" x14ac:dyDescent="0.25">
      <c r="A491" s="1" t="s">
        <v>2079</v>
      </c>
      <c r="B491" s="1" t="s">
        <v>2080</v>
      </c>
      <c r="C491" s="2">
        <v>2005</v>
      </c>
      <c r="D491" s="1" t="s">
        <v>28</v>
      </c>
      <c r="E491" s="2">
        <v>0</v>
      </c>
      <c r="F491" s="1" t="s">
        <v>28</v>
      </c>
      <c r="G491" s="1" t="s">
        <v>28</v>
      </c>
      <c r="H491" s="1" t="s">
        <v>28</v>
      </c>
      <c r="I491" s="1" t="s">
        <v>28</v>
      </c>
      <c r="J491" s="1"/>
      <c r="K491" s="1" t="s">
        <v>28</v>
      </c>
      <c r="L491" s="1" t="s">
        <v>51</v>
      </c>
      <c r="M491" s="1" t="s">
        <v>52</v>
      </c>
      <c r="N491" s="1" t="s">
        <v>53</v>
      </c>
      <c r="O491" s="1" t="s">
        <v>28</v>
      </c>
      <c r="P491" s="1" t="s">
        <v>45</v>
      </c>
      <c r="Q491" s="1" t="s">
        <v>28</v>
      </c>
      <c r="R491" s="1" t="s">
        <v>128</v>
      </c>
      <c r="S491" s="1" t="s">
        <v>71</v>
      </c>
      <c r="T491" s="3" t="str">
        <f>Sheet4!H491</f>
        <v xml:space="preserve"> View Map </v>
      </c>
    </row>
    <row r="492" spans="1:20" ht="15" x14ac:dyDescent="0.25">
      <c r="A492" s="1" t="s">
        <v>2081</v>
      </c>
      <c r="B492" s="1" t="s">
        <v>2082</v>
      </c>
      <c r="C492" s="2">
        <v>2005</v>
      </c>
      <c r="D492" s="1" t="s">
        <v>24</v>
      </c>
      <c r="E492" s="2">
        <v>1</v>
      </c>
      <c r="F492" s="1" t="s">
        <v>2083</v>
      </c>
      <c r="G492" s="1" t="s">
        <v>2084</v>
      </c>
      <c r="H492" s="2">
        <v>105</v>
      </c>
      <c r="I492" s="2">
        <v>35000</v>
      </c>
      <c r="J492" s="1" t="s">
        <v>2085</v>
      </c>
      <c r="K492" s="2">
        <v>35000</v>
      </c>
      <c r="L492" s="1" t="s">
        <v>68</v>
      </c>
      <c r="M492" s="1" t="s">
        <v>69</v>
      </c>
      <c r="N492" s="1" t="s">
        <v>275</v>
      </c>
      <c r="O492" s="1" t="s">
        <v>354</v>
      </c>
      <c r="P492" s="1" t="s">
        <v>275</v>
      </c>
      <c r="Q492" s="1" t="s">
        <v>348</v>
      </c>
      <c r="R492" s="1" t="s">
        <v>275</v>
      </c>
      <c r="S492" s="1" t="s">
        <v>32</v>
      </c>
      <c r="T492" s="3" t="str">
        <f>Sheet4!H492</f>
        <v xml:space="preserve"> View Map </v>
      </c>
    </row>
    <row r="493" spans="1:20" ht="15" x14ac:dyDescent="0.25">
      <c r="A493" s="1" t="s">
        <v>2086</v>
      </c>
      <c r="B493" s="1" t="s">
        <v>2087</v>
      </c>
      <c r="C493" s="2">
        <v>0</v>
      </c>
      <c r="D493" s="1" t="s">
        <v>24</v>
      </c>
      <c r="E493" s="2">
        <v>0</v>
      </c>
      <c r="F493" s="1" t="s">
        <v>2088</v>
      </c>
      <c r="G493" s="1" t="s">
        <v>2087</v>
      </c>
      <c r="H493" s="2">
        <v>626</v>
      </c>
      <c r="I493" s="2">
        <v>30000</v>
      </c>
      <c r="J493" s="1" t="s">
        <v>2089</v>
      </c>
      <c r="K493" s="2">
        <v>30000</v>
      </c>
      <c r="L493" s="1" t="s">
        <v>68</v>
      </c>
      <c r="M493" s="1" t="s">
        <v>69</v>
      </c>
      <c r="N493" s="1" t="s">
        <v>322</v>
      </c>
      <c r="O493" s="1" t="s">
        <v>1137</v>
      </c>
      <c r="P493" s="1" t="s">
        <v>162</v>
      </c>
      <c r="Q493" s="1" t="s">
        <v>316</v>
      </c>
      <c r="R493" s="1" t="s">
        <v>322</v>
      </c>
      <c r="S493" s="1" t="s">
        <v>71</v>
      </c>
      <c r="T493" s="3" t="str">
        <f>Sheet4!H493</f>
        <v xml:space="preserve"> View Map </v>
      </c>
    </row>
    <row r="494" spans="1:20" ht="15" x14ac:dyDescent="0.25">
      <c r="A494" s="1" t="s">
        <v>2090</v>
      </c>
      <c r="B494" s="1" t="s">
        <v>2091</v>
      </c>
      <c r="C494" s="2">
        <v>2014</v>
      </c>
      <c r="D494" s="1" t="s">
        <v>24</v>
      </c>
      <c r="E494" s="2">
        <v>0</v>
      </c>
      <c r="F494" s="1" t="s">
        <v>2092</v>
      </c>
      <c r="G494" s="1" t="s">
        <v>2091</v>
      </c>
      <c r="H494" s="2">
        <v>250</v>
      </c>
      <c r="I494" s="2">
        <v>9600</v>
      </c>
      <c r="J494" s="1" t="s">
        <v>2093</v>
      </c>
      <c r="K494" s="1" t="s">
        <v>28</v>
      </c>
      <c r="L494" s="1" t="s">
        <v>68</v>
      </c>
      <c r="M494" s="1" t="s">
        <v>69</v>
      </c>
      <c r="N494" s="1" t="s">
        <v>162</v>
      </c>
      <c r="O494" s="1" t="s">
        <v>167</v>
      </c>
      <c r="P494" s="1" t="s">
        <v>162</v>
      </c>
      <c r="Q494" s="1" t="s">
        <v>311</v>
      </c>
      <c r="R494" s="1" t="s">
        <v>162</v>
      </c>
      <c r="S494" s="1" t="s">
        <v>71</v>
      </c>
      <c r="T494" s="3" t="str">
        <f>Sheet4!H494</f>
        <v xml:space="preserve"> View Map </v>
      </c>
    </row>
    <row r="495" spans="1:20" ht="15" x14ac:dyDescent="0.25">
      <c r="A495" s="1" t="s">
        <v>2094</v>
      </c>
      <c r="B495" s="1" t="s">
        <v>2095</v>
      </c>
      <c r="C495" s="2">
        <v>2018</v>
      </c>
      <c r="D495" s="1" t="s">
        <v>24</v>
      </c>
      <c r="E495" s="2">
        <v>1</v>
      </c>
      <c r="F495" s="1" t="s">
        <v>2096</v>
      </c>
      <c r="G495" s="1" t="s">
        <v>2096</v>
      </c>
      <c r="H495" s="2">
        <v>29000</v>
      </c>
      <c r="I495" s="2">
        <v>45000</v>
      </c>
      <c r="J495" s="1" t="s">
        <v>2097</v>
      </c>
      <c r="K495" s="2">
        <v>45000</v>
      </c>
      <c r="L495" s="1" t="s">
        <v>68</v>
      </c>
      <c r="M495" s="1" t="s">
        <v>69</v>
      </c>
      <c r="N495" s="1" t="s">
        <v>162</v>
      </c>
      <c r="O495" s="1" t="s">
        <v>560</v>
      </c>
      <c r="P495" s="1" t="s">
        <v>162</v>
      </c>
      <c r="Q495" s="1" t="s">
        <v>516</v>
      </c>
      <c r="R495" s="1" t="s">
        <v>561</v>
      </c>
      <c r="S495" s="1" t="s">
        <v>71</v>
      </c>
      <c r="T495" s="3" t="str">
        <f>Sheet4!H495</f>
        <v xml:space="preserve"> View Map </v>
      </c>
    </row>
    <row r="496" spans="1:20" ht="15" x14ac:dyDescent="0.25">
      <c r="A496" s="1" t="s">
        <v>2098</v>
      </c>
      <c r="B496" s="1" t="s">
        <v>2099</v>
      </c>
      <c r="C496" s="2">
        <v>2005</v>
      </c>
      <c r="D496" s="1" t="s">
        <v>24</v>
      </c>
      <c r="E496" s="2">
        <v>1</v>
      </c>
      <c r="F496" s="1" t="s">
        <v>2100</v>
      </c>
      <c r="G496" s="1" t="s">
        <v>2101</v>
      </c>
      <c r="H496" s="2">
        <v>365</v>
      </c>
      <c r="I496" s="2">
        <v>40000</v>
      </c>
      <c r="J496" s="1" t="s">
        <v>2102</v>
      </c>
      <c r="K496" s="2">
        <v>40000</v>
      </c>
      <c r="L496" s="1" t="s">
        <v>68</v>
      </c>
      <c r="M496" s="1" t="s">
        <v>69</v>
      </c>
      <c r="N496" s="1" t="s">
        <v>72</v>
      </c>
      <c r="O496" s="1" t="s">
        <v>78</v>
      </c>
      <c r="P496" s="1" t="s">
        <v>72</v>
      </c>
      <c r="Q496" s="1" t="s">
        <v>639</v>
      </c>
      <c r="R496" s="1" t="s">
        <v>645</v>
      </c>
      <c r="S496" s="1" t="s">
        <v>71</v>
      </c>
      <c r="T496" s="3" t="str">
        <f>Sheet4!H496</f>
        <v xml:space="preserve"> View Map </v>
      </c>
    </row>
    <row r="497" spans="1:20" ht="15" x14ac:dyDescent="0.25">
      <c r="A497" s="1" t="s">
        <v>2103</v>
      </c>
      <c r="B497" s="1" t="s">
        <v>2104</v>
      </c>
      <c r="C497" s="2">
        <v>2005</v>
      </c>
      <c r="D497" s="1" t="s">
        <v>24</v>
      </c>
      <c r="E497" s="2">
        <v>0</v>
      </c>
      <c r="F497" s="1" t="s">
        <v>1966</v>
      </c>
      <c r="G497" s="1"/>
      <c r="H497" s="2">
        <v>0</v>
      </c>
      <c r="I497" s="2">
        <v>17500</v>
      </c>
      <c r="J497" s="1" t="s">
        <v>2105</v>
      </c>
      <c r="K497" s="1" t="s">
        <v>28</v>
      </c>
      <c r="L497" s="1" t="s">
        <v>68</v>
      </c>
      <c r="M497" s="1" t="s">
        <v>69</v>
      </c>
      <c r="N497" s="1" t="s">
        <v>72</v>
      </c>
      <c r="O497" s="1" t="s">
        <v>2106</v>
      </c>
      <c r="P497" s="1" t="s">
        <v>72</v>
      </c>
      <c r="Q497" s="1" t="s">
        <v>811</v>
      </c>
      <c r="R497" s="1" t="s">
        <v>72</v>
      </c>
      <c r="S497" s="1" t="s">
        <v>32</v>
      </c>
      <c r="T497" s="3" t="str">
        <f>Sheet4!H497</f>
        <v xml:space="preserve"> View Map </v>
      </c>
    </row>
    <row r="498" spans="1:20" ht="15" x14ac:dyDescent="0.25">
      <c r="A498" s="1" t="s">
        <v>2107</v>
      </c>
      <c r="B498" s="1" t="s">
        <v>2108</v>
      </c>
      <c r="C498" s="2">
        <v>2019</v>
      </c>
      <c r="D498" s="1" t="s">
        <v>24</v>
      </c>
      <c r="E498" s="2">
        <v>1</v>
      </c>
      <c r="F498" s="1" t="s">
        <v>208</v>
      </c>
      <c r="G498" s="1"/>
      <c r="H498" s="2">
        <v>0</v>
      </c>
      <c r="I498" s="2">
        <v>85000</v>
      </c>
      <c r="J498" s="1" t="s">
        <v>2109</v>
      </c>
      <c r="K498" s="2">
        <v>85000</v>
      </c>
      <c r="L498" s="1" t="s">
        <v>51</v>
      </c>
      <c r="M498" s="1" t="s">
        <v>52</v>
      </c>
      <c r="N498" s="1" t="s">
        <v>53</v>
      </c>
      <c r="O498" s="1" t="s">
        <v>2110</v>
      </c>
      <c r="P498" s="1" t="s">
        <v>45</v>
      </c>
      <c r="Q498" s="1" t="s">
        <v>46</v>
      </c>
      <c r="R498" s="1" t="s">
        <v>55</v>
      </c>
      <c r="S498" s="1" t="s">
        <v>71</v>
      </c>
      <c r="T498" s="3" t="str">
        <f>Sheet4!H498</f>
        <v xml:space="preserve"> View Map </v>
      </c>
    </row>
    <row r="499" spans="1:20" ht="15" x14ac:dyDescent="0.25">
      <c r="A499" s="1" t="s">
        <v>2111</v>
      </c>
      <c r="B499" s="1" t="s">
        <v>2112</v>
      </c>
      <c r="C499" s="2">
        <v>2005</v>
      </c>
      <c r="D499" s="1" t="s">
        <v>24</v>
      </c>
      <c r="E499" s="2">
        <v>0</v>
      </c>
      <c r="F499" s="1"/>
      <c r="G499" s="1"/>
      <c r="H499" s="2">
        <v>0</v>
      </c>
      <c r="I499" s="2">
        <v>1900</v>
      </c>
      <c r="J499" s="1" t="s">
        <v>1416</v>
      </c>
      <c r="K499" s="1" t="s">
        <v>28</v>
      </c>
      <c r="L499" s="1" t="s">
        <v>29</v>
      </c>
      <c r="M499" s="1" t="s">
        <v>30</v>
      </c>
      <c r="N499" s="1" t="s">
        <v>20</v>
      </c>
      <c r="O499" s="1" t="s">
        <v>173</v>
      </c>
      <c r="P499" s="1" t="s">
        <v>20</v>
      </c>
      <c r="Q499" s="1" t="s">
        <v>168</v>
      </c>
      <c r="R499" s="1" t="s">
        <v>738</v>
      </c>
      <c r="S499" s="1" t="s">
        <v>32</v>
      </c>
      <c r="T499" s="3" t="str">
        <f>Sheet4!H499</f>
        <v xml:space="preserve"> View Map </v>
      </c>
    </row>
    <row r="500" spans="1:20" ht="15" x14ac:dyDescent="0.25">
      <c r="A500" s="1" t="s">
        <v>2113</v>
      </c>
      <c r="B500" s="1" t="s">
        <v>2114</v>
      </c>
      <c r="C500" s="2">
        <v>2016</v>
      </c>
      <c r="D500" s="1" t="s">
        <v>24</v>
      </c>
      <c r="E500" s="2">
        <v>1</v>
      </c>
      <c r="F500" s="1" t="s">
        <v>2114</v>
      </c>
      <c r="G500" s="1"/>
      <c r="H500" s="2">
        <v>0</v>
      </c>
      <c r="I500" s="2">
        <v>50000</v>
      </c>
      <c r="J500" s="1" t="s">
        <v>2115</v>
      </c>
      <c r="K500" s="2">
        <v>50000</v>
      </c>
      <c r="L500" s="1" t="s">
        <v>68</v>
      </c>
      <c r="M500" s="1" t="s">
        <v>69</v>
      </c>
      <c r="N500" s="1" t="s">
        <v>275</v>
      </c>
      <c r="O500" s="1" t="s">
        <v>282</v>
      </c>
      <c r="P500" s="1" t="s">
        <v>275</v>
      </c>
      <c r="Q500" s="1" t="s">
        <v>276</v>
      </c>
      <c r="R500" s="1" t="s">
        <v>275</v>
      </c>
      <c r="S500" s="1" t="s">
        <v>32</v>
      </c>
      <c r="T500" s="3" t="str">
        <f>Sheet4!H500</f>
        <v xml:space="preserve"> View Map </v>
      </c>
    </row>
    <row r="501" spans="1:20" ht="15" x14ac:dyDescent="0.25">
      <c r="A501" s="1" t="s">
        <v>2116</v>
      </c>
      <c r="B501" s="1" t="s">
        <v>2117</v>
      </c>
      <c r="C501" s="2">
        <v>2023</v>
      </c>
      <c r="D501" s="1" t="s">
        <v>24</v>
      </c>
      <c r="E501" s="2">
        <v>1</v>
      </c>
      <c r="F501" s="1" t="s">
        <v>2118</v>
      </c>
      <c r="G501" s="1" t="s">
        <v>644</v>
      </c>
      <c r="H501" s="2">
        <v>250</v>
      </c>
      <c r="I501" s="2">
        <v>23000</v>
      </c>
      <c r="J501" s="1" t="s">
        <v>2119</v>
      </c>
      <c r="K501" s="2">
        <v>23000</v>
      </c>
      <c r="L501" s="1" t="s">
        <v>68</v>
      </c>
      <c r="M501" s="1" t="s">
        <v>69</v>
      </c>
      <c r="N501" s="1" t="s">
        <v>72</v>
      </c>
      <c r="O501" s="1" t="s">
        <v>644</v>
      </c>
      <c r="P501" s="1" t="s">
        <v>72</v>
      </c>
      <c r="Q501" s="1" t="s">
        <v>811</v>
      </c>
      <c r="R501" s="1" t="s">
        <v>72</v>
      </c>
      <c r="S501" s="1" t="s">
        <v>71</v>
      </c>
      <c r="T501" s="3" t="str">
        <f>Sheet4!H501</f>
        <v xml:space="preserve"> View Map </v>
      </c>
    </row>
    <row r="502" spans="1:20" ht="15" x14ac:dyDescent="0.25">
      <c r="A502" s="1" t="s">
        <v>2120</v>
      </c>
      <c r="B502" s="1" t="s">
        <v>2121</v>
      </c>
      <c r="C502" s="2">
        <v>2017</v>
      </c>
      <c r="D502" s="1" t="s">
        <v>24</v>
      </c>
      <c r="E502" s="2">
        <v>0</v>
      </c>
      <c r="F502" s="1" t="s">
        <v>2122</v>
      </c>
      <c r="G502" s="1" t="s">
        <v>2123</v>
      </c>
      <c r="H502" s="2">
        <v>1158</v>
      </c>
      <c r="I502" s="2">
        <v>19000</v>
      </c>
      <c r="J502" s="1" t="s">
        <v>2124</v>
      </c>
      <c r="K502" s="2">
        <v>19000</v>
      </c>
      <c r="L502" s="1" t="s">
        <v>68</v>
      </c>
      <c r="M502" s="1" t="s">
        <v>69</v>
      </c>
      <c r="N502" s="1" t="s">
        <v>162</v>
      </c>
      <c r="O502" s="1" t="s">
        <v>374</v>
      </c>
      <c r="P502" s="1" t="s">
        <v>162</v>
      </c>
      <c r="Q502" s="1" t="s">
        <v>162</v>
      </c>
      <c r="R502" s="1" t="s">
        <v>162</v>
      </c>
      <c r="S502" s="1" t="s">
        <v>71</v>
      </c>
      <c r="T502" s="3" t="str">
        <f>Sheet4!H502</f>
        <v xml:space="preserve"> View Map </v>
      </c>
    </row>
    <row r="503" spans="1:20" ht="15" x14ac:dyDescent="0.25">
      <c r="A503" s="1" t="s">
        <v>2125</v>
      </c>
      <c r="B503" s="1" t="s">
        <v>2126</v>
      </c>
      <c r="C503" s="2">
        <v>2025</v>
      </c>
      <c r="D503" s="1" t="s">
        <v>24</v>
      </c>
      <c r="E503" s="2">
        <v>1</v>
      </c>
      <c r="F503" s="1" t="s">
        <v>2127</v>
      </c>
      <c r="G503" s="1"/>
      <c r="H503" s="2">
        <v>0</v>
      </c>
      <c r="I503" s="2">
        <v>25000</v>
      </c>
      <c r="J503" s="1" t="s">
        <v>2128</v>
      </c>
      <c r="K503" s="2">
        <v>25000</v>
      </c>
      <c r="L503" s="1" t="s">
        <v>51</v>
      </c>
      <c r="M503" s="1" t="s">
        <v>52</v>
      </c>
      <c r="N503" s="1" t="s">
        <v>162</v>
      </c>
      <c r="O503" s="1" t="s">
        <v>732</v>
      </c>
      <c r="P503" s="1" t="s">
        <v>72</v>
      </c>
      <c r="Q503" s="1" t="s">
        <v>73</v>
      </c>
      <c r="R503" s="1" t="s">
        <v>561</v>
      </c>
      <c r="S503" s="1" t="s">
        <v>71</v>
      </c>
      <c r="T503" s="3" t="str">
        <f>Sheet4!H503</f>
        <v xml:space="preserve"> View Map </v>
      </c>
    </row>
    <row r="504" spans="1:20" ht="15" x14ac:dyDescent="0.25">
      <c r="A504" s="1" t="s">
        <v>2129</v>
      </c>
      <c r="B504" s="1" t="s">
        <v>2130</v>
      </c>
      <c r="C504" s="2">
        <v>2005</v>
      </c>
      <c r="D504" s="1" t="s">
        <v>81</v>
      </c>
      <c r="E504" s="2">
        <v>0</v>
      </c>
      <c r="F504" s="1"/>
      <c r="G504" s="1"/>
      <c r="H504" s="2">
        <v>0</v>
      </c>
      <c r="I504" s="2">
        <v>0</v>
      </c>
      <c r="J504" s="1" t="s">
        <v>2131</v>
      </c>
      <c r="K504" s="1" t="s">
        <v>28</v>
      </c>
      <c r="L504" s="1" t="s">
        <v>51</v>
      </c>
      <c r="M504" s="1" t="s">
        <v>52</v>
      </c>
      <c r="N504" s="1" t="s">
        <v>146</v>
      </c>
      <c r="O504" s="1" t="s">
        <v>28</v>
      </c>
      <c r="P504" s="1" t="s">
        <v>45</v>
      </c>
      <c r="Q504" s="1" t="s">
        <v>28</v>
      </c>
      <c r="R504" s="1" t="s">
        <v>343</v>
      </c>
      <c r="S504" s="1" t="s">
        <v>56</v>
      </c>
      <c r="T504" s="3" t="str">
        <f>Sheet4!H504</f>
        <v xml:space="preserve"> View Map </v>
      </c>
    </row>
    <row r="505" spans="1:20" ht="15" x14ac:dyDescent="0.25">
      <c r="A505" s="1" t="s">
        <v>2133</v>
      </c>
      <c r="B505" s="1" t="s">
        <v>2134</v>
      </c>
      <c r="C505" s="2">
        <v>2005</v>
      </c>
      <c r="D505" s="1" t="s">
        <v>24</v>
      </c>
      <c r="E505" s="2">
        <v>1</v>
      </c>
      <c r="F505" s="1" t="s">
        <v>2135</v>
      </c>
      <c r="G505" s="1" t="s">
        <v>2135</v>
      </c>
      <c r="H505" s="2">
        <v>0</v>
      </c>
      <c r="I505" s="2">
        <v>60000</v>
      </c>
      <c r="J505" s="1" t="s">
        <v>2136</v>
      </c>
      <c r="K505" s="2">
        <v>60000</v>
      </c>
      <c r="L505" s="1" t="s">
        <v>68</v>
      </c>
      <c r="M505" s="1" t="s">
        <v>69</v>
      </c>
      <c r="N505" s="1" t="s">
        <v>275</v>
      </c>
      <c r="O505" s="1" t="s">
        <v>2137</v>
      </c>
      <c r="P505" s="1" t="s">
        <v>275</v>
      </c>
      <c r="Q505" s="1" t="s">
        <v>2132</v>
      </c>
      <c r="R505" s="1" t="s">
        <v>275</v>
      </c>
      <c r="S505" s="1" t="s">
        <v>71</v>
      </c>
      <c r="T505" s="3" t="str">
        <f>Sheet4!H505</f>
        <v xml:space="preserve"> View Map </v>
      </c>
    </row>
    <row r="506" spans="1:20" ht="15" x14ac:dyDescent="0.25">
      <c r="A506" s="1" t="s">
        <v>2138</v>
      </c>
      <c r="B506" s="1" t="s">
        <v>2139</v>
      </c>
      <c r="C506" s="2">
        <v>2025</v>
      </c>
      <c r="D506" s="1" t="s">
        <v>24</v>
      </c>
      <c r="E506" s="2">
        <v>1</v>
      </c>
      <c r="F506" s="1" t="s">
        <v>2140</v>
      </c>
      <c r="G506" s="1" t="s">
        <v>2141</v>
      </c>
      <c r="H506" s="2">
        <v>50</v>
      </c>
      <c r="I506" s="2">
        <v>31000</v>
      </c>
      <c r="J506" s="1" t="s">
        <v>2142</v>
      </c>
      <c r="K506" s="2">
        <v>31000</v>
      </c>
      <c r="L506" s="1" t="s">
        <v>68</v>
      </c>
      <c r="M506" s="1" t="s">
        <v>69</v>
      </c>
      <c r="N506" s="1" t="s">
        <v>275</v>
      </c>
      <c r="O506" s="1" t="s">
        <v>297</v>
      </c>
      <c r="P506" s="1" t="s">
        <v>275</v>
      </c>
      <c r="Q506" s="1" t="s">
        <v>276</v>
      </c>
      <c r="R506" s="1" t="s">
        <v>275</v>
      </c>
      <c r="S506" s="1" t="s">
        <v>71</v>
      </c>
      <c r="T506" s="3" t="str">
        <f>Sheet4!H506</f>
        <v xml:space="preserve"> View Map </v>
      </c>
    </row>
    <row r="507" spans="1:20" ht="15" x14ac:dyDescent="0.25">
      <c r="A507" s="1" t="s">
        <v>2143</v>
      </c>
      <c r="B507" s="1" t="s">
        <v>2144</v>
      </c>
      <c r="C507" s="2">
        <v>2024</v>
      </c>
      <c r="D507" s="1" t="s">
        <v>24</v>
      </c>
      <c r="E507" s="2">
        <v>1</v>
      </c>
      <c r="F507" s="1" t="s">
        <v>2145</v>
      </c>
      <c r="G507" s="1" t="s">
        <v>2145</v>
      </c>
      <c r="H507" s="2">
        <v>1200</v>
      </c>
      <c r="I507" s="2">
        <v>150000</v>
      </c>
      <c r="J507" s="1" t="s">
        <v>2146</v>
      </c>
      <c r="K507" s="2">
        <v>150000</v>
      </c>
      <c r="L507" s="1" t="s">
        <v>68</v>
      </c>
      <c r="M507" s="1" t="s">
        <v>69</v>
      </c>
      <c r="N507" s="1" t="s">
        <v>162</v>
      </c>
      <c r="O507" s="1" t="s">
        <v>770</v>
      </c>
      <c r="P507" s="1" t="s">
        <v>162</v>
      </c>
      <c r="Q507" s="1" t="s">
        <v>506</v>
      </c>
      <c r="R507" s="1" t="s">
        <v>162</v>
      </c>
      <c r="S507" s="1" t="s">
        <v>71</v>
      </c>
      <c r="T507" s="3" t="str">
        <f>Sheet4!H507</f>
        <v xml:space="preserve"> View Map </v>
      </c>
    </row>
    <row r="508" spans="1:20" ht="15" x14ac:dyDescent="0.25">
      <c r="A508" s="1" t="s">
        <v>2147</v>
      </c>
      <c r="B508" s="1" t="s">
        <v>2148</v>
      </c>
      <c r="C508" s="2">
        <v>1960</v>
      </c>
      <c r="D508" s="1" t="s">
        <v>24</v>
      </c>
      <c r="E508" s="2">
        <v>0</v>
      </c>
      <c r="F508" s="1" t="s">
        <v>2149</v>
      </c>
      <c r="G508" s="1" t="s">
        <v>2150</v>
      </c>
      <c r="H508" s="2">
        <v>3150</v>
      </c>
      <c r="I508" s="2">
        <v>28000</v>
      </c>
      <c r="J508" s="1" t="s">
        <v>2151</v>
      </c>
      <c r="K508" s="1" t="s">
        <v>28</v>
      </c>
      <c r="L508" s="1" t="s">
        <v>51</v>
      </c>
      <c r="M508" s="1" t="s">
        <v>52</v>
      </c>
      <c r="N508" s="1" t="s">
        <v>53</v>
      </c>
      <c r="O508" s="1" t="s">
        <v>412</v>
      </c>
      <c r="P508" s="1" t="s">
        <v>45</v>
      </c>
      <c r="Q508" s="1" t="s">
        <v>53</v>
      </c>
      <c r="R508" s="1" t="s">
        <v>204</v>
      </c>
      <c r="S508" s="1" t="s">
        <v>71</v>
      </c>
      <c r="T508" s="3" t="str">
        <f>Sheet4!H508</f>
        <v xml:space="preserve"> View Map </v>
      </c>
    </row>
    <row r="509" spans="1:20" ht="15" x14ac:dyDescent="0.25">
      <c r="A509" s="1" t="s">
        <v>2152</v>
      </c>
      <c r="B509" s="1" t="s">
        <v>2153</v>
      </c>
      <c r="C509" s="2">
        <v>2005</v>
      </c>
      <c r="D509" s="1" t="s">
        <v>24</v>
      </c>
      <c r="E509" s="2">
        <v>1</v>
      </c>
      <c r="F509" s="1" t="s">
        <v>2154</v>
      </c>
      <c r="G509" s="1"/>
      <c r="H509" s="2">
        <v>0</v>
      </c>
      <c r="I509" s="2">
        <v>40000</v>
      </c>
      <c r="J509" s="1" t="s">
        <v>2155</v>
      </c>
      <c r="K509" s="2">
        <v>35000</v>
      </c>
      <c r="L509" s="1" t="s">
        <v>68</v>
      </c>
      <c r="M509" s="1" t="s">
        <v>69</v>
      </c>
      <c r="N509" s="1" t="s">
        <v>53</v>
      </c>
      <c r="O509" s="1" t="s">
        <v>62</v>
      </c>
      <c r="P509" s="1" t="s">
        <v>45</v>
      </c>
      <c r="Q509" s="1" t="s">
        <v>46</v>
      </c>
      <c r="R509" s="1" t="s">
        <v>55</v>
      </c>
      <c r="S509" s="1" t="s">
        <v>71</v>
      </c>
      <c r="T509" s="3" t="str">
        <f>Sheet4!H509</f>
        <v xml:space="preserve"> View Map </v>
      </c>
    </row>
    <row r="510" spans="1:20" ht="15" x14ac:dyDescent="0.25">
      <c r="A510" s="1" t="s">
        <v>2156</v>
      </c>
      <c r="B510" s="1" t="s">
        <v>2157</v>
      </c>
      <c r="C510" s="2">
        <v>2023</v>
      </c>
      <c r="D510" s="1" t="s">
        <v>24</v>
      </c>
      <c r="E510" s="2">
        <v>1</v>
      </c>
      <c r="F510" s="1" t="s">
        <v>2158</v>
      </c>
      <c r="G510" s="1" t="s">
        <v>2159</v>
      </c>
      <c r="H510" s="2">
        <v>31</v>
      </c>
      <c r="I510" s="2">
        <v>73000</v>
      </c>
      <c r="J510" s="1" t="s">
        <v>2160</v>
      </c>
      <c r="K510" s="2">
        <v>73000</v>
      </c>
      <c r="L510" s="1" t="s">
        <v>68</v>
      </c>
      <c r="M510" s="1" t="s">
        <v>69</v>
      </c>
      <c r="N510" s="1" t="s">
        <v>275</v>
      </c>
      <c r="O510" s="1" t="s">
        <v>354</v>
      </c>
      <c r="P510" s="1" t="s">
        <v>275</v>
      </c>
      <c r="Q510" s="1" t="s">
        <v>348</v>
      </c>
      <c r="R510" s="1" t="s">
        <v>275</v>
      </c>
      <c r="S510" s="1" t="s">
        <v>71</v>
      </c>
      <c r="T510" s="3" t="str">
        <f>Sheet4!H510</f>
        <v xml:space="preserve"> View Map </v>
      </c>
    </row>
    <row r="511" spans="1:20" ht="15" x14ac:dyDescent="0.25">
      <c r="A511" s="1" t="s">
        <v>2161</v>
      </c>
      <c r="B511" s="1" t="s">
        <v>2162</v>
      </c>
      <c r="C511" s="2">
        <v>2025</v>
      </c>
      <c r="D511" s="1" t="s">
        <v>24</v>
      </c>
      <c r="E511" s="2">
        <v>1</v>
      </c>
      <c r="F511" s="1" t="s">
        <v>2163</v>
      </c>
      <c r="G511" s="1" t="s">
        <v>2163</v>
      </c>
      <c r="H511" s="2">
        <v>450</v>
      </c>
      <c r="I511" s="2">
        <v>50000</v>
      </c>
      <c r="J511" s="1" t="s">
        <v>2164</v>
      </c>
      <c r="K511" s="2">
        <v>50000</v>
      </c>
      <c r="L511" s="1" t="s">
        <v>68</v>
      </c>
      <c r="M511" s="1" t="s">
        <v>69</v>
      </c>
      <c r="N511" s="1" t="s">
        <v>162</v>
      </c>
      <c r="O511" s="1" t="s">
        <v>693</v>
      </c>
      <c r="P511" s="1" t="s">
        <v>162</v>
      </c>
      <c r="Q511" s="1" t="s">
        <v>516</v>
      </c>
      <c r="R511" s="1" t="s">
        <v>516</v>
      </c>
      <c r="S511" s="1" t="s">
        <v>71</v>
      </c>
      <c r="T511" s="3" t="str">
        <f>Sheet4!H511</f>
        <v xml:space="preserve"> View Map </v>
      </c>
    </row>
    <row r="512" spans="1:20" ht="15" x14ac:dyDescent="0.25">
      <c r="A512" s="1" t="s">
        <v>2165</v>
      </c>
      <c r="B512" s="1" t="s">
        <v>2166</v>
      </c>
      <c r="C512" s="2">
        <v>2012</v>
      </c>
      <c r="D512" s="1" t="s">
        <v>24</v>
      </c>
      <c r="E512" s="2">
        <v>0</v>
      </c>
      <c r="F512" s="1" t="s">
        <v>2167</v>
      </c>
      <c r="G512" s="1" t="s">
        <v>2168</v>
      </c>
      <c r="H512" s="2">
        <v>300</v>
      </c>
      <c r="I512" s="2">
        <v>50000</v>
      </c>
      <c r="J512" s="1" t="s">
        <v>2169</v>
      </c>
      <c r="K512" s="1" t="s">
        <v>28</v>
      </c>
      <c r="L512" s="1" t="s">
        <v>68</v>
      </c>
      <c r="M512" s="1" t="s">
        <v>69</v>
      </c>
      <c r="N512" s="1" t="s">
        <v>162</v>
      </c>
      <c r="O512" s="1" t="s">
        <v>511</v>
      </c>
      <c r="P512" s="1" t="s">
        <v>162</v>
      </c>
      <c r="Q512" s="1" t="s">
        <v>506</v>
      </c>
      <c r="R512" s="1" t="s">
        <v>162</v>
      </c>
      <c r="S512" s="1" t="s">
        <v>71</v>
      </c>
      <c r="T512" s="3" t="str">
        <f>Sheet4!H512</f>
        <v xml:space="preserve"> View Map </v>
      </c>
    </row>
    <row r="513" spans="1:20" ht="15" x14ac:dyDescent="0.25">
      <c r="A513" s="1" t="s">
        <v>2170</v>
      </c>
      <c r="B513" s="1" t="s">
        <v>2171</v>
      </c>
      <c r="C513" s="2">
        <v>2005</v>
      </c>
      <c r="D513" s="1" t="s">
        <v>24</v>
      </c>
      <c r="E513" s="2">
        <v>0</v>
      </c>
      <c r="F513" s="1"/>
      <c r="G513" s="1"/>
      <c r="H513" s="2">
        <v>0</v>
      </c>
      <c r="I513" s="2">
        <v>0</v>
      </c>
      <c r="J513" s="1" t="s">
        <v>2172</v>
      </c>
      <c r="K513" s="1" t="s">
        <v>28</v>
      </c>
      <c r="L513" s="1" t="s">
        <v>68</v>
      </c>
      <c r="M513" s="1" t="s">
        <v>69</v>
      </c>
      <c r="N513" s="1" t="s">
        <v>275</v>
      </c>
      <c r="O513" s="1" t="s">
        <v>28</v>
      </c>
      <c r="P513" s="1" t="s">
        <v>275</v>
      </c>
      <c r="Q513" s="1" t="s">
        <v>275</v>
      </c>
      <c r="R513" s="1" t="s">
        <v>275</v>
      </c>
      <c r="S513" s="1" t="s">
        <v>71</v>
      </c>
      <c r="T513" s="3" t="str">
        <f>Sheet4!H513</f>
        <v xml:space="preserve"> View Map </v>
      </c>
    </row>
    <row r="514" spans="1:20" ht="15" x14ac:dyDescent="0.25">
      <c r="A514" s="1" t="s">
        <v>2173</v>
      </c>
      <c r="B514" s="1" t="s">
        <v>2174</v>
      </c>
      <c r="C514" s="2">
        <v>2005</v>
      </c>
      <c r="D514" s="1" t="s">
        <v>24</v>
      </c>
      <c r="E514" s="2">
        <v>0</v>
      </c>
      <c r="F514" s="1" t="s">
        <v>2175</v>
      </c>
      <c r="G514" s="1" t="s">
        <v>2176</v>
      </c>
      <c r="H514" s="2">
        <v>150</v>
      </c>
      <c r="I514" s="2">
        <v>60000</v>
      </c>
      <c r="J514" s="1" t="s">
        <v>2177</v>
      </c>
      <c r="K514" s="1" t="s">
        <v>28</v>
      </c>
      <c r="L514" s="1" t="s">
        <v>68</v>
      </c>
      <c r="M514" s="1" t="s">
        <v>69</v>
      </c>
      <c r="N514" s="1" t="s">
        <v>275</v>
      </c>
      <c r="O514" s="1" t="s">
        <v>297</v>
      </c>
      <c r="P514" s="1" t="s">
        <v>275</v>
      </c>
      <c r="Q514" s="1" t="s">
        <v>275</v>
      </c>
      <c r="R514" s="1" t="s">
        <v>275</v>
      </c>
      <c r="S514" s="1" t="s">
        <v>71</v>
      </c>
      <c r="T514" s="3" t="str">
        <f>Sheet4!H514</f>
        <v xml:space="preserve"> View Map </v>
      </c>
    </row>
    <row r="515" spans="1:20" ht="15" x14ac:dyDescent="0.25">
      <c r="A515" s="1" t="s">
        <v>2178</v>
      </c>
      <c r="B515" s="1" t="s">
        <v>2179</v>
      </c>
      <c r="C515" s="2">
        <v>2005</v>
      </c>
      <c r="D515" s="1" t="s">
        <v>24</v>
      </c>
      <c r="E515" s="2">
        <v>1</v>
      </c>
      <c r="F515" s="1" t="s">
        <v>2180</v>
      </c>
      <c r="G515" s="1"/>
      <c r="H515" s="2">
        <v>100</v>
      </c>
      <c r="I515" s="2">
        <v>48000</v>
      </c>
      <c r="J515" s="1" t="s">
        <v>2181</v>
      </c>
      <c r="K515" s="2">
        <v>48000</v>
      </c>
      <c r="L515" s="1" t="s">
        <v>68</v>
      </c>
      <c r="M515" s="1" t="s">
        <v>69</v>
      </c>
      <c r="N515" s="1" t="s">
        <v>275</v>
      </c>
      <c r="O515" s="1" t="s">
        <v>1060</v>
      </c>
      <c r="P515" s="1" t="s">
        <v>275</v>
      </c>
      <c r="Q515" s="1" t="s">
        <v>275</v>
      </c>
      <c r="R515" s="1" t="s">
        <v>275</v>
      </c>
      <c r="S515" s="1" t="s">
        <v>71</v>
      </c>
      <c r="T515" s="3" t="str">
        <f>Sheet4!H515</f>
        <v xml:space="preserve"> View Map </v>
      </c>
    </row>
    <row r="516" spans="1:20" ht="15" x14ac:dyDescent="0.25">
      <c r="A516" s="1" t="s">
        <v>2182</v>
      </c>
      <c r="B516" s="1" t="s">
        <v>2183</v>
      </c>
      <c r="C516" s="2">
        <v>2024</v>
      </c>
      <c r="D516" s="1" t="s">
        <v>24</v>
      </c>
      <c r="E516" s="2">
        <v>1</v>
      </c>
      <c r="F516" s="1" t="s">
        <v>2184</v>
      </c>
      <c r="G516" s="1" t="s">
        <v>1077</v>
      </c>
      <c r="H516" s="2">
        <v>30</v>
      </c>
      <c r="I516" s="2">
        <v>40000</v>
      </c>
      <c r="J516" s="1" t="s">
        <v>2185</v>
      </c>
      <c r="K516" s="1" t="s">
        <v>28</v>
      </c>
      <c r="L516" s="1" t="s">
        <v>68</v>
      </c>
      <c r="M516" s="1" t="s">
        <v>69</v>
      </c>
      <c r="N516" s="1" t="s">
        <v>275</v>
      </c>
      <c r="O516" s="1" t="s">
        <v>1077</v>
      </c>
      <c r="P516" s="1" t="s">
        <v>304</v>
      </c>
      <c r="Q516" s="1" t="s">
        <v>386</v>
      </c>
      <c r="R516" s="1" t="s">
        <v>275</v>
      </c>
      <c r="S516" s="1" t="s">
        <v>71</v>
      </c>
      <c r="T516" s="3" t="str">
        <f>Sheet4!H516</f>
        <v xml:space="preserve"> View Map </v>
      </c>
    </row>
    <row r="517" spans="1:20" ht="15" x14ac:dyDescent="0.25">
      <c r="A517" s="1" t="s">
        <v>2186</v>
      </c>
      <c r="B517" s="1" t="s">
        <v>2187</v>
      </c>
      <c r="C517" s="2">
        <v>2017</v>
      </c>
      <c r="D517" s="1" t="s">
        <v>24</v>
      </c>
      <c r="E517" s="2">
        <v>0</v>
      </c>
      <c r="F517" s="1" t="s">
        <v>2188</v>
      </c>
      <c r="G517" s="1" t="s">
        <v>398</v>
      </c>
      <c r="H517" s="2">
        <v>365</v>
      </c>
      <c r="I517" s="2">
        <v>35000</v>
      </c>
      <c r="J517" s="1" t="s">
        <v>2189</v>
      </c>
      <c r="K517" s="2">
        <v>35000</v>
      </c>
      <c r="L517" s="1" t="s">
        <v>68</v>
      </c>
      <c r="M517" s="1" t="s">
        <v>69</v>
      </c>
      <c r="N517" s="1" t="s">
        <v>72</v>
      </c>
      <c r="O517" s="1" t="s">
        <v>78</v>
      </c>
      <c r="P517" s="1" t="s">
        <v>72</v>
      </c>
      <c r="Q517" s="1" t="s">
        <v>73</v>
      </c>
      <c r="R517" s="1" t="s">
        <v>73</v>
      </c>
      <c r="S517" s="1" t="s">
        <v>71</v>
      </c>
      <c r="T517" s="3" t="str">
        <f>Sheet4!H517</f>
        <v xml:space="preserve"> View Map </v>
      </c>
    </row>
    <row r="518" spans="1:20" ht="15" x14ac:dyDescent="0.25">
      <c r="A518" s="1" t="s">
        <v>2190</v>
      </c>
      <c r="B518" s="1" t="s">
        <v>2191</v>
      </c>
      <c r="C518" s="2">
        <v>2021</v>
      </c>
      <c r="D518" s="1" t="s">
        <v>24</v>
      </c>
      <c r="E518" s="2">
        <v>0</v>
      </c>
      <c r="F518" s="1" t="s">
        <v>2191</v>
      </c>
      <c r="G518" s="1" t="s">
        <v>2192</v>
      </c>
      <c r="H518" s="2">
        <v>100</v>
      </c>
      <c r="I518" s="2">
        <v>0</v>
      </c>
      <c r="J518" s="1" t="s">
        <v>2193</v>
      </c>
      <c r="K518" s="1" t="s">
        <v>28</v>
      </c>
      <c r="L518" s="1" t="s">
        <v>68</v>
      </c>
      <c r="M518" s="1" t="s">
        <v>69</v>
      </c>
      <c r="N518" s="1" t="s">
        <v>275</v>
      </c>
      <c r="O518" s="1" t="s">
        <v>407</v>
      </c>
      <c r="P518" s="1" t="s">
        <v>275</v>
      </c>
      <c r="Q518" s="1" t="s">
        <v>402</v>
      </c>
      <c r="R518" s="1" t="s">
        <v>275</v>
      </c>
      <c r="S518" s="1" t="s">
        <v>32</v>
      </c>
      <c r="T518" s="3" t="str">
        <f>Sheet4!H518</f>
        <v xml:space="preserve"> View Map </v>
      </c>
    </row>
    <row r="519" spans="1:20" ht="15" x14ac:dyDescent="0.25">
      <c r="A519" s="1" t="s">
        <v>2194</v>
      </c>
      <c r="B519" s="1" t="s">
        <v>2195</v>
      </c>
      <c r="C519" s="2">
        <v>2005</v>
      </c>
      <c r="D519" s="1" t="s">
        <v>24</v>
      </c>
      <c r="E519" s="2">
        <v>0</v>
      </c>
      <c r="F519" s="1"/>
      <c r="G519" s="1" t="s">
        <v>2196</v>
      </c>
      <c r="H519" s="2">
        <v>0</v>
      </c>
      <c r="I519" s="2">
        <v>0</v>
      </c>
      <c r="J519" s="1" t="s">
        <v>2197</v>
      </c>
      <c r="K519" s="1" t="s">
        <v>28</v>
      </c>
      <c r="L519" s="1" t="s">
        <v>68</v>
      </c>
      <c r="M519" s="1" t="s">
        <v>69</v>
      </c>
      <c r="N519" s="1" t="s">
        <v>275</v>
      </c>
      <c r="O519" s="1" t="s">
        <v>28</v>
      </c>
      <c r="P519" s="1" t="s">
        <v>275</v>
      </c>
      <c r="Q519" s="1" t="s">
        <v>275</v>
      </c>
      <c r="R519" s="1" t="s">
        <v>275</v>
      </c>
      <c r="S519" s="1" t="s">
        <v>71</v>
      </c>
      <c r="T519" s="3" t="str">
        <f>Sheet4!H519</f>
        <v xml:space="preserve"> View Map </v>
      </c>
    </row>
    <row r="520" spans="1:20" ht="15" x14ac:dyDescent="0.25">
      <c r="A520" s="1" t="s">
        <v>2198</v>
      </c>
      <c r="B520" s="1" t="s">
        <v>2199</v>
      </c>
      <c r="C520" s="2">
        <v>2005</v>
      </c>
      <c r="D520" s="1" t="s">
        <v>24</v>
      </c>
      <c r="E520" s="2">
        <v>1</v>
      </c>
      <c r="F520" s="1" t="s">
        <v>2200</v>
      </c>
      <c r="G520" s="1" t="s">
        <v>2200</v>
      </c>
      <c r="H520" s="2">
        <v>1500</v>
      </c>
      <c r="I520" s="2">
        <v>100000</v>
      </c>
      <c r="J520" s="1" t="s">
        <v>2201</v>
      </c>
      <c r="K520" s="2">
        <v>100000</v>
      </c>
      <c r="L520" s="1" t="s">
        <v>51</v>
      </c>
      <c r="M520" s="1" t="s">
        <v>159</v>
      </c>
      <c r="N520" s="1" t="s">
        <v>160</v>
      </c>
      <c r="O520" s="1" t="s">
        <v>656</v>
      </c>
      <c r="P520" s="1" t="s">
        <v>153</v>
      </c>
      <c r="Q520" s="1" t="s">
        <v>184</v>
      </c>
      <c r="R520" s="1" t="s">
        <v>188</v>
      </c>
      <c r="S520" s="1" t="s">
        <v>71</v>
      </c>
      <c r="T520" s="3" t="str">
        <f>Sheet4!H520</f>
        <v xml:space="preserve"> View Map </v>
      </c>
    </row>
    <row r="521" spans="1:20" ht="15" x14ac:dyDescent="0.25">
      <c r="A521" s="1" t="s">
        <v>2202</v>
      </c>
      <c r="B521" s="1" t="s">
        <v>2203</v>
      </c>
      <c r="C521" s="2">
        <v>2005</v>
      </c>
      <c r="D521" s="1" t="s">
        <v>24</v>
      </c>
      <c r="E521" s="2">
        <v>0</v>
      </c>
      <c r="F521" s="1"/>
      <c r="G521" s="1"/>
      <c r="H521" s="2">
        <v>0</v>
      </c>
      <c r="I521" s="2">
        <v>0</v>
      </c>
      <c r="J521" s="1"/>
      <c r="K521" s="1" t="s">
        <v>28</v>
      </c>
      <c r="L521" s="1" t="s">
        <v>68</v>
      </c>
      <c r="M521" s="1" t="s">
        <v>69</v>
      </c>
      <c r="N521" s="1" t="s">
        <v>53</v>
      </c>
      <c r="O521" s="1" t="s">
        <v>28</v>
      </c>
      <c r="P521" s="1" t="s">
        <v>45</v>
      </c>
      <c r="Q521" s="1" t="s">
        <v>28</v>
      </c>
      <c r="R521" s="1" t="s">
        <v>105</v>
      </c>
      <c r="S521" s="1" t="s">
        <v>71</v>
      </c>
      <c r="T521" s="3" t="str">
        <f>Sheet4!H521</f>
        <v xml:space="preserve"> View Map </v>
      </c>
    </row>
    <row r="522" spans="1:20" ht="15" x14ac:dyDescent="0.25">
      <c r="A522" s="1" t="s">
        <v>2204</v>
      </c>
      <c r="B522" s="1" t="s">
        <v>2205</v>
      </c>
      <c r="C522" s="2">
        <v>2025</v>
      </c>
      <c r="D522" s="1" t="s">
        <v>24</v>
      </c>
      <c r="E522" s="2">
        <v>1</v>
      </c>
      <c r="F522" s="1" t="s">
        <v>2206</v>
      </c>
      <c r="G522" s="1" t="s">
        <v>2207</v>
      </c>
      <c r="H522" s="2">
        <v>1000</v>
      </c>
      <c r="I522" s="2">
        <v>9000</v>
      </c>
      <c r="J522" s="1" t="s">
        <v>2208</v>
      </c>
      <c r="K522" s="1" t="s">
        <v>28</v>
      </c>
      <c r="L522" s="1" t="s">
        <v>68</v>
      </c>
      <c r="M522" s="1" t="s">
        <v>69</v>
      </c>
      <c r="N522" s="1" t="s">
        <v>275</v>
      </c>
      <c r="O522" s="1" t="s">
        <v>407</v>
      </c>
      <c r="P522" s="1" t="s">
        <v>275</v>
      </c>
      <c r="Q522" s="1" t="s">
        <v>402</v>
      </c>
      <c r="R522" s="1" t="s">
        <v>275</v>
      </c>
      <c r="S522" s="1" t="s">
        <v>71</v>
      </c>
      <c r="T522" s="3" t="str">
        <f>Sheet4!H522</f>
        <v xml:space="preserve"> View Map </v>
      </c>
    </row>
    <row r="523" spans="1:20" ht="15" x14ac:dyDescent="0.25">
      <c r="A523" s="1" t="s">
        <v>2209</v>
      </c>
      <c r="B523" s="1" t="s">
        <v>2210</v>
      </c>
      <c r="C523" s="2">
        <v>1970</v>
      </c>
      <c r="D523" s="1" t="s">
        <v>24</v>
      </c>
      <c r="E523" s="2">
        <v>0</v>
      </c>
      <c r="F523" s="1" t="s">
        <v>2211</v>
      </c>
      <c r="G523" s="1" t="s">
        <v>2212</v>
      </c>
      <c r="H523" s="2">
        <v>1750</v>
      </c>
      <c r="I523" s="2">
        <v>11500</v>
      </c>
      <c r="J523" s="1" t="s">
        <v>2213</v>
      </c>
      <c r="K523" s="1" t="s">
        <v>28</v>
      </c>
      <c r="L523" s="1" t="s">
        <v>51</v>
      </c>
      <c r="M523" s="1" t="s">
        <v>52</v>
      </c>
      <c r="N523" s="1" t="s">
        <v>53</v>
      </c>
      <c r="O523" s="1" t="s">
        <v>84</v>
      </c>
      <c r="P523" s="1" t="s">
        <v>45</v>
      </c>
      <c r="Q523" s="1" t="s">
        <v>45</v>
      </c>
      <c r="R523" s="1" t="s">
        <v>55</v>
      </c>
      <c r="S523" s="1" t="s">
        <v>71</v>
      </c>
      <c r="T523" s="3" t="str">
        <f>Sheet4!H523</f>
        <v xml:space="preserve"> View Map </v>
      </c>
    </row>
    <row r="524" spans="1:20" ht="15" x14ac:dyDescent="0.25">
      <c r="A524" s="1" t="s">
        <v>2214</v>
      </c>
      <c r="B524" s="1" t="s">
        <v>2215</v>
      </c>
      <c r="C524" s="2">
        <v>2005</v>
      </c>
      <c r="D524" s="1" t="s">
        <v>24</v>
      </c>
      <c r="E524" s="2">
        <v>0</v>
      </c>
      <c r="F524" s="1"/>
      <c r="G524" s="1" t="s">
        <v>2216</v>
      </c>
      <c r="H524" s="2">
        <v>3500</v>
      </c>
      <c r="I524" s="2">
        <v>0</v>
      </c>
      <c r="J524" s="1" t="s">
        <v>2217</v>
      </c>
      <c r="K524" s="1" t="s">
        <v>28</v>
      </c>
      <c r="L524" s="1" t="s">
        <v>51</v>
      </c>
      <c r="M524" s="1" t="s">
        <v>159</v>
      </c>
      <c r="N524" s="1" t="s">
        <v>160</v>
      </c>
      <c r="O524" s="1" t="s">
        <v>679</v>
      </c>
      <c r="P524" s="1" t="s">
        <v>153</v>
      </c>
      <c r="Q524" s="1" t="s">
        <v>28</v>
      </c>
      <c r="R524" s="1" t="s">
        <v>275</v>
      </c>
      <c r="S524" s="1" t="s">
        <v>71</v>
      </c>
      <c r="T524" s="3" t="str">
        <f>Sheet4!H524</f>
        <v xml:space="preserve"> View Map </v>
      </c>
    </row>
    <row r="525" spans="1:20" ht="15" x14ac:dyDescent="0.25">
      <c r="A525" s="1" t="s">
        <v>2218</v>
      </c>
      <c r="B525" s="1" t="s">
        <v>2219</v>
      </c>
      <c r="C525" s="2">
        <v>2005</v>
      </c>
      <c r="D525" s="1" t="s">
        <v>24</v>
      </c>
      <c r="E525" s="2">
        <v>0</v>
      </c>
      <c r="F525" s="1"/>
      <c r="G525" s="1" t="s">
        <v>2220</v>
      </c>
      <c r="H525" s="2">
        <v>50</v>
      </c>
      <c r="I525" s="2">
        <v>5325</v>
      </c>
      <c r="J525" s="1" t="s">
        <v>2221</v>
      </c>
      <c r="K525" s="1" t="s">
        <v>28</v>
      </c>
      <c r="L525" s="1" t="s">
        <v>68</v>
      </c>
      <c r="M525" s="1" t="s">
        <v>69</v>
      </c>
      <c r="N525" s="1" t="s">
        <v>275</v>
      </c>
      <c r="O525" s="1" t="s">
        <v>391</v>
      </c>
      <c r="P525" s="1" t="s">
        <v>275</v>
      </c>
      <c r="Q525" s="1" t="s">
        <v>386</v>
      </c>
      <c r="R525" s="1" t="s">
        <v>275</v>
      </c>
      <c r="S525" s="1" t="s">
        <v>71</v>
      </c>
      <c r="T525" s="3" t="str">
        <f>Sheet4!H525</f>
        <v xml:space="preserve"> View Map </v>
      </c>
    </row>
    <row r="526" spans="1:20" ht="15" x14ac:dyDescent="0.25">
      <c r="A526" s="1" t="s">
        <v>2222</v>
      </c>
      <c r="B526" s="1" t="s">
        <v>2223</v>
      </c>
      <c r="C526" s="2">
        <v>2024</v>
      </c>
      <c r="D526" s="1" t="s">
        <v>24</v>
      </c>
      <c r="E526" s="2">
        <v>1</v>
      </c>
      <c r="F526" s="1" t="s">
        <v>2224</v>
      </c>
      <c r="G526" s="1" t="s">
        <v>2224</v>
      </c>
      <c r="H526" s="2">
        <v>0</v>
      </c>
      <c r="I526" s="2">
        <v>340000</v>
      </c>
      <c r="J526" s="1" t="s">
        <v>2225</v>
      </c>
      <c r="K526" s="2">
        <v>340000</v>
      </c>
      <c r="L526" s="1" t="s">
        <v>68</v>
      </c>
      <c r="M526" s="1" t="s">
        <v>69</v>
      </c>
      <c r="N526" s="1" t="s">
        <v>162</v>
      </c>
      <c r="O526" s="1" t="s">
        <v>167</v>
      </c>
      <c r="P526" s="1" t="s">
        <v>162</v>
      </c>
      <c r="Q526" s="1" t="s">
        <v>311</v>
      </c>
      <c r="R526" s="1" t="s">
        <v>162</v>
      </c>
      <c r="S526" s="1" t="s">
        <v>71</v>
      </c>
      <c r="T526" s="3" t="str">
        <f>Sheet4!H526</f>
        <v xml:space="preserve"> View Map </v>
      </c>
    </row>
    <row r="527" spans="1:20" ht="15" x14ac:dyDescent="0.25">
      <c r="A527" s="1" t="s">
        <v>2226</v>
      </c>
      <c r="B527" s="1" t="s">
        <v>2227</v>
      </c>
      <c r="C527" s="2">
        <v>2025</v>
      </c>
      <c r="D527" s="1" t="s">
        <v>24</v>
      </c>
      <c r="E527" s="2">
        <v>1</v>
      </c>
      <c r="F527" s="1" t="s">
        <v>407</v>
      </c>
      <c r="G527" s="1" t="s">
        <v>407</v>
      </c>
      <c r="H527" s="2">
        <v>250</v>
      </c>
      <c r="I527" s="2">
        <v>9000</v>
      </c>
      <c r="J527" s="1" t="s">
        <v>2228</v>
      </c>
      <c r="K527" s="1" t="s">
        <v>28</v>
      </c>
      <c r="L527" s="1" t="s">
        <v>68</v>
      </c>
      <c r="M527" s="1" t="s">
        <v>69</v>
      </c>
      <c r="N527" s="1" t="s">
        <v>275</v>
      </c>
      <c r="O527" s="1" t="s">
        <v>407</v>
      </c>
      <c r="P527" s="1" t="s">
        <v>275</v>
      </c>
      <c r="Q527" s="1" t="s">
        <v>402</v>
      </c>
      <c r="R527" s="1" t="s">
        <v>275</v>
      </c>
      <c r="S527" s="1" t="s">
        <v>71</v>
      </c>
      <c r="T527" s="3" t="str">
        <f>Sheet4!H527</f>
        <v xml:space="preserve"> View Map </v>
      </c>
    </row>
    <row r="528" spans="1:20" ht="15" x14ac:dyDescent="0.25">
      <c r="A528" s="1" t="s">
        <v>2229</v>
      </c>
      <c r="B528" s="1" t="s">
        <v>2230</v>
      </c>
      <c r="C528" s="2">
        <v>1960</v>
      </c>
      <c r="D528" s="1" t="s">
        <v>24</v>
      </c>
      <c r="E528" s="2">
        <v>1</v>
      </c>
      <c r="F528" s="1" t="s">
        <v>2231</v>
      </c>
      <c r="G528" s="1"/>
      <c r="H528" s="2">
        <v>0</v>
      </c>
      <c r="I528" s="2">
        <v>78000</v>
      </c>
      <c r="J528" s="1" t="s">
        <v>2232</v>
      </c>
      <c r="K528" s="2">
        <v>78000</v>
      </c>
      <c r="L528" s="1" t="s">
        <v>68</v>
      </c>
      <c r="M528" s="1" t="s">
        <v>69</v>
      </c>
      <c r="N528" s="1" t="s">
        <v>72</v>
      </c>
      <c r="O528" s="1" t="s">
        <v>550</v>
      </c>
      <c r="P528" s="1" t="s">
        <v>72</v>
      </c>
      <c r="Q528" s="1" t="s">
        <v>811</v>
      </c>
      <c r="R528" s="1" t="s">
        <v>275</v>
      </c>
      <c r="S528" s="1" t="s">
        <v>71</v>
      </c>
      <c r="T528" s="3" t="str">
        <f>Sheet4!H528</f>
        <v xml:space="preserve"> View Map </v>
      </c>
    </row>
    <row r="529" spans="1:20" ht="15" x14ac:dyDescent="0.25">
      <c r="A529" s="1" t="s">
        <v>2233</v>
      </c>
      <c r="B529" s="1" t="s">
        <v>2234</v>
      </c>
      <c r="C529" s="2">
        <v>2016</v>
      </c>
      <c r="D529" s="1" t="s">
        <v>24</v>
      </c>
      <c r="E529" s="2">
        <v>1</v>
      </c>
      <c r="F529" s="1" t="s">
        <v>1016</v>
      </c>
      <c r="G529" s="1" t="s">
        <v>1016</v>
      </c>
      <c r="H529" s="2">
        <v>0</v>
      </c>
      <c r="I529" s="2">
        <v>38000</v>
      </c>
      <c r="J529" s="1" t="s">
        <v>2235</v>
      </c>
      <c r="K529" s="2">
        <v>38000</v>
      </c>
      <c r="L529" s="1" t="s">
        <v>68</v>
      </c>
      <c r="M529" s="1" t="s">
        <v>69</v>
      </c>
      <c r="N529" s="1" t="s">
        <v>53</v>
      </c>
      <c r="O529" s="1" t="s">
        <v>62</v>
      </c>
      <c r="P529" s="1" t="s">
        <v>45</v>
      </c>
      <c r="Q529" s="1" t="s">
        <v>45</v>
      </c>
      <c r="R529" s="1" t="s">
        <v>55</v>
      </c>
      <c r="S529" s="1" t="s">
        <v>71</v>
      </c>
      <c r="T529" s="3" t="str">
        <f>Sheet4!H529</f>
        <v xml:space="preserve"> View Map </v>
      </c>
    </row>
    <row r="530" spans="1:20" ht="15" x14ac:dyDescent="0.25">
      <c r="A530" s="1" t="s">
        <v>2236</v>
      </c>
      <c r="B530" s="1" t="s">
        <v>2237</v>
      </c>
      <c r="C530" s="2">
        <v>2019</v>
      </c>
      <c r="D530" s="1" t="s">
        <v>24</v>
      </c>
      <c r="E530" s="2">
        <v>0</v>
      </c>
      <c r="F530" s="1" t="s">
        <v>1833</v>
      </c>
      <c r="G530" s="1" t="s">
        <v>1833</v>
      </c>
      <c r="H530" s="2">
        <v>15</v>
      </c>
      <c r="I530" s="2">
        <v>10000</v>
      </c>
      <c r="J530" s="1" t="s">
        <v>2238</v>
      </c>
      <c r="K530" s="2">
        <v>10000</v>
      </c>
      <c r="L530" s="1" t="s">
        <v>68</v>
      </c>
      <c r="M530" s="1" t="s">
        <v>69</v>
      </c>
      <c r="N530" s="1" t="s">
        <v>275</v>
      </c>
      <c r="O530" s="1" t="s">
        <v>1833</v>
      </c>
      <c r="P530" s="1" t="s">
        <v>275</v>
      </c>
      <c r="Q530" s="1" t="s">
        <v>275</v>
      </c>
      <c r="R530" s="1" t="s">
        <v>275</v>
      </c>
      <c r="S530" s="1" t="s">
        <v>71</v>
      </c>
      <c r="T530" s="3" t="str">
        <f>Sheet4!H530</f>
        <v xml:space="preserve"> View Map </v>
      </c>
    </row>
    <row r="531" spans="1:20" ht="15" x14ac:dyDescent="0.25">
      <c r="A531" s="1" t="s">
        <v>2239</v>
      </c>
      <c r="B531" s="1" t="s">
        <v>2240</v>
      </c>
      <c r="C531" s="2">
        <v>2025</v>
      </c>
      <c r="D531" s="1" t="s">
        <v>24</v>
      </c>
      <c r="E531" s="2">
        <v>1</v>
      </c>
      <c r="F531" s="1" t="s">
        <v>2240</v>
      </c>
      <c r="G531" s="1" t="s">
        <v>2241</v>
      </c>
      <c r="H531" s="2">
        <v>300</v>
      </c>
      <c r="I531" s="2">
        <v>15000</v>
      </c>
      <c r="J531" s="1" t="s">
        <v>2242</v>
      </c>
      <c r="K531" s="2">
        <v>13500</v>
      </c>
      <c r="L531" s="1" t="s">
        <v>68</v>
      </c>
      <c r="M531" s="1" t="s">
        <v>69</v>
      </c>
      <c r="N531" s="1" t="s">
        <v>146</v>
      </c>
      <c r="O531" s="1" t="s">
        <v>939</v>
      </c>
      <c r="P531" s="1" t="s">
        <v>45</v>
      </c>
      <c r="Q531" s="1" t="s">
        <v>146</v>
      </c>
      <c r="R531" s="1" t="s">
        <v>105</v>
      </c>
      <c r="S531" s="1" t="s">
        <v>71</v>
      </c>
      <c r="T531" s="3" t="str">
        <f>Sheet4!H531</f>
        <v xml:space="preserve"> View Map </v>
      </c>
    </row>
    <row r="532" spans="1:20" ht="15" x14ac:dyDescent="0.25">
      <c r="A532" s="1" t="s">
        <v>2243</v>
      </c>
      <c r="B532" s="1" t="s">
        <v>2244</v>
      </c>
      <c r="C532" s="2">
        <v>2005</v>
      </c>
      <c r="D532" s="1" t="s">
        <v>24</v>
      </c>
      <c r="E532" s="2">
        <v>0</v>
      </c>
      <c r="F532" s="1" t="s">
        <v>2245</v>
      </c>
      <c r="G532" s="1"/>
      <c r="H532" s="2">
        <v>0</v>
      </c>
      <c r="I532" s="2">
        <v>15500</v>
      </c>
      <c r="J532" s="1" t="s">
        <v>2246</v>
      </c>
      <c r="K532" s="1" t="s">
        <v>28</v>
      </c>
      <c r="L532" s="1" t="s">
        <v>68</v>
      </c>
      <c r="M532" s="1" t="s">
        <v>69</v>
      </c>
      <c r="N532" s="1" t="s">
        <v>275</v>
      </c>
      <c r="O532" s="1" t="s">
        <v>297</v>
      </c>
      <c r="P532" s="1" t="s">
        <v>275</v>
      </c>
      <c r="Q532" s="1" t="s">
        <v>276</v>
      </c>
      <c r="R532" s="1" t="s">
        <v>275</v>
      </c>
      <c r="S532" s="1" t="s">
        <v>32</v>
      </c>
      <c r="T532" s="3" t="str">
        <f>Sheet4!H532</f>
        <v xml:space="preserve"> View Map </v>
      </c>
    </row>
    <row r="533" spans="1:20" ht="15" x14ac:dyDescent="0.25">
      <c r="A533" s="1" t="s">
        <v>2247</v>
      </c>
      <c r="B533" s="1" t="s">
        <v>2248</v>
      </c>
      <c r="C533" s="2">
        <v>2022</v>
      </c>
      <c r="D533" s="1" t="s">
        <v>24</v>
      </c>
      <c r="E533" s="2">
        <v>1</v>
      </c>
      <c r="F533" s="1" t="s">
        <v>2249</v>
      </c>
      <c r="G533" s="1"/>
      <c r="H533" s="2">
        <v>0</v>
      </c>
      <c r="I533" s="2">
        <v>20500</v>
      </c>
      <c r="J533" s="1" t="s">
        <v>2250</v>
      </c>
      <c r="K533" s="2">
        <v>20500</v>
      </c>
      <c r="L533" s="1" t="s">
        <v>51</v>
      </c>
      <c r="M533" s="1" t="s">
        <v>52</v>
      </c>
      <c r="N533" s="1" t="s">
        <v>53</v>
      </c>
      <c r="O533" s="1" t="s">
        <v>84</v>
      </c>
      <c r="P533" s="1" t="s">
        <v>45</v>
      </c>
      <c r="Q533" s="1" t="s">
        <v>45</v>
      </c>
      <c r="R533" s="1" t="s">
        <v>105</v>
      </c>
      <c r="S533" s="1" t="s">
        <v>71</v>
      </c>
      <c r="T533" s="3" t="str">
        <f>Sheet4!H533</f>
        <v xml:space="preserve"> View Map </v>
      </c>
    </row>
    <row r="534" spans="1:20" ht="15" x14ac:dyDescent="0.25">
      <c r="A534" s="1" t="s">
        <v>2251</v>
      </c>
      <c r="B534" s="1" t="s">
        <v>2252</v>
      </c>
      <c r="C534" s="2">
        <v>2024</v>
      </c>
      <c r="D534" s="1" t="s">
        <v>24</v>
      </c>
      <c r="E534" s="2">
        <v>1</v>
      </c>
      <c r="F534" s="1" t="s">
        <v>2253</v>
      </c>
      <c r="G534" s="1" t="s">
        <v>2254</v>
      </c>
      <c r="H534" s="2">
        <v>70</v>
      </c>
      <c r="I534" s="2">
        <v>45500</v>
      </c>
      <c r="J534" s="1" t="s">
        <v>2255</v>
      </c>
      <c r="K534" s="2">
        <v>45500</v>
      </c>
      <c r="L534" s="1" t="s">
        <v>68</v>
      </c>
      <c r="M534" s="1" t="s">
        <v>69</v>
      </c>
      <c r="N534" s="1" t="s">
        <v>275</v>
      </c>
      <c r="O534" s="1" t="s">
        <v>1077</v>
      </c>
      <c r="P534" s="1" t="s">
        <v>304</v>
      </c>
      <c r="Q534" s="1" t="s">
        <v>386</v>
      </c>
      <c r="R534" s="1" t="s">
        <v>275</v>
      </c>
      <c r="S534" s="1" t="s">
        <v>71</v>
      </c>
      <c r="T534" s="3" t="str">
        <f>Sheet4!H534</f>
        <v xml:space="preserve"> View Map </v>
      </c>
    </row>
    <row r="535" spans="1:20" ht="15" x14ac:dyDescent="0.25">
      <c r="A535" s="1" t="s">
        <v>2256</v>
      </c>
      <c r="B535" s="1" t="s">
        <v>2257</v>
      </c>
      <c r="C535" s="2">
        <v>2013</v>
      </c>
      <c r="D535" s="1" t="s">
        <v>24</v>
      </c>
      <c r="E535" s="2">
        <v>1</v>
      </c>
      <c r="F535" s="1" t="s">
        <v>1831</v>
      </c>
      <c r="G535" s="1" t="s">
        <v>1831</v>
      </c>
      <c r="H535" s="2">
        <v>30</v>
      </c>
      <c r="I535" s="2">
        <v>70000</v>
      </c>
      <c r="J535" s="1" t="s">
        <v>2258</v>
      </c>
      <c r="K535" s="2">
        <v>70000</v>
      </c>
      <c r="L535" s="1" t="s">
        <v>68</v>
      </c>
      <c r="M535" s="1" t="s">
        <v>69</v>
      </c>
      <c r="N535" s="1" t="s">
        <v>275</v>
      </c>
      <c r="O535" s="1" t="s">
        <v>1833</v>
      </c>
      <c r="P535" s="1" t="s">
        <v>275</v>
      </c>
      <c r="Q535" s="1" t="s">
        <v>275</v>
      </c>
      <c r="R535" s="1" t="s">
        <v>275</v>
      </c>
      <c r="S535" s="1" t="s">
        <v>71</v>
      </c>
      <c r="T535" s="3" t="str">
        <f>Sheet4!H535</f>
        <v xml:space="preserve"> View Map </v>
      </c>
    </row>
    <row r="536" spans="1:20" ht="15" x14ac:dyDescent="0.25">
      <c r="A536" s="1" t="s">
        <v>2259</v>
      </c>
      <c r="B536" s="1" t="s">
        <v>2260</v>
      </c>
      <c r="C536" s="2">
        <v>1960</v>
      </c>
      <c r="D536" s="1" t="s">
        <v>24</v>
      </c>
      <c r="E536" s="2">
        <v>1</v>
      </c>
      <c r="F536" s="1" t="s">
        <v>2261</v>
      </c>
      <c r="G536" s="1" t="s">
        <v>2084</v>
      </c>
      <c r="H536" s="2">
        <v>0</v>
      </c>
      <c r="I536" s="2">
        <v>52000</v>
      </c>
      <c r="J536" s="1" t="s">
        <v>2262</v>
      </c>
      <c r="K536" s="2">
        <v>52000</v>
      </c>
      <c r="L536" s="1" t="s">
        <v>68</v>
      </c>
      <c r="M536" s="1" t="s">
        <v>69</v>
      </c>
      <c r="N536" s="1" t="s">
        <v>275</v>
      </c>
      <c r="O536" s="1" t="s">
        <v>354</v>
      </c>
      <c r="P536" s="1" t="s">
        <v>275</v>
      </c>
      <c r="Q536" s="1" t="s">
        <v>348</v>
      </c>
      <c r="R536" s="1" t="s">
        <v>275</v>
      </c>
      <c r="S536" s="1" t="s">
        <v>71</v>
      </c>
      <c r="T536" s="3" t="str">
        <f>Sheet4!H536</f>
        <v xml:space="preserve"> View Map </v>
      </c>
    </row>
    <row r="537" spans="1:20" ht="15" x14ac:dyDescent="0.25">
      <c r="A537" s="1" t="s">
        <v>2263</v>
      </c>
      <c r="B537" s="1" t="s">
        <v>2264</v>
      </c>
      <c r="C537" s="2">
        <v>2005</v>
      </c>
      <c r="D537" s="1" t="s">
        <v>24</v>
      </c>
      <c r="E537" s="2">
        <v>1</v>
      </c>
      <c r="F537" s="1" t="s">
        <v>273</v>
      </c>
      <c r="G537" s="1"/>
      <c r="H537" s="2">
        <v>0</v>
      </c>
      <c r="I537" s="2">
        <v>60000</v>
      </c>
      <c r="J537" s="1" t="s">
        <v>2265</v>
      </c>
      <c r="K537" s="2">
        <v>60000</v>
      </c>
      <c r="L537" s="1" t="s">
        <v>29</v>
      </c>
      <c r="M537" s="1" t="s">
        <v>134</v>
      </c>
      <c r="N537" s="1" t="s">
        <v>20</v>
      </c>
      <c r="O537" s="1" t="s">
        <v>135</v>
      </c>
      <c r="P537" s="1" t="s">
        <v>20</v>
      </c>
      <c r="Q537" s="1" t="s">
        <v>129</v>
      </c>
      <c r="R537" s="1" t="s">
        <v>20</v>
      </c>
      <c r="S537" s="1" t="s">
        <v>32</v>
      </c>
      <c r="T537" s="3" t="str">
        <f>Sheet4!H537</f>
        <v xml:space="preserve"> View Map </v>
      </c>
    </row>
    <row r="538" spans="1:20" ht="15" x14ac:dyDescent="0.25">
      <c r="A538" s="1" t="s">
        <v>2266</v>
      </c>
      <c r="B538" s="1" t="s">
        <v>2267</v>
      </c>
      <c r="C538" s="2">
        <v>2024</v>
      </c>
      <c r="D538" s="1" t="s">
        <v>24</v>
      </c>
      <c r="E538" s="2">
        <v>1</v>
      </c>
      <c r="F538" s="1" t="s">
        <v>2268</v>
      </c>
      <c r="G538" s="1" t="s">
        <v>2269</v>
      </c>
      <c r="H538" s="2">
        <v>800</v>
      </c>
      <c r="I538" s="2">
        <v>66000</v>
      </c>
      <c r="J538" s="1" t="s">
        <v>2270</v>
      </c>
      <c r="K538" s="2">
        <v>66000</v>
      </c>
      <c r="L538" s="1" t="s">
        <v>51</v>
      </c>
      <c r="M538" s="1" t="s">
        <v>52</v>
      </c>
      <c r="N538" s="1" t="s">
        <v>53</v>
      </c>
      <c r="O538" s="1" t="s">
        <v>412</v>
      </c>
      <c r="P538" s="1" t="s">
        <v>45</v>
      </c>
      <c r="Q538" s="1" t="s">
        <v>53</v>
      </c>
      <c r="R538" s="1" t="s">
        <v>204</v>
      </c>
      <c r="S538" s="1" t="s">
        <v>71</v>
      </c>
      <c r="T538" s="3" t="str">
        <f>Sheet4!H538</f>
        <v xml:space="preserve"> View Map </v>
      </c>
    </row>
    <row r="539" spans="1:20" ht="15" x14ac:dyDescent="0.25">
      <c r="A539" s="1" t="s">
        <v>2271</v>
      </c>
      <c r="B539" s="1" t="s">
        <v>2272</v>
      </c>
      <c r="C539" s="2">
        <v>2020</v>
      </c>
      <c r="D539" s="1" t="s">
        <v>24</v>
      </c>
      <c r="E539" s="2">
        <v>1</v>
      </c>
      <c r="F539" s="1" t="s">
        <v>2273</v>
      </c>
      <c r="G539" s="1" t="s">
        <v>2273</v>
      </c>
      <c r="H539" s="2">
        <v>100</v>
      </c>
      <c r="I539" s="2">
        <v>100000</v>
      </c>
      <c r="J539" s="1" t="s">
        <v>2274</v>
      </c>
      <c r="K539" s="2">
        <v>70000</v>
      </c>
      <c r="L539" s="1" t="s">
        <v>68</v>
      </c>
      <c r="M539" s="1" t="s">
        <v>69</v>
      </c>
      <c r="N539" s="1" t="s">
        <v>1652</v>
      </c>
      <c r="O539" s="1" t="s">
        <v>2275</v>
      </c>
      <c r="P539" s="1" t="s">
        <v>162</v>
      </c>
      <c r="Q539" s="1" t="s">
        <v>316</v>
      </c>
      <c r="R539" s="1" t="s">
        <v>784</v>
      </c>
      <c r="S539" s="1" t="s">
        <v>71</v>
      </c>
      <c r="T539" s="3" t="str">
        <f>Sheet4!H539</f>
        <v xml:space="preserve"> View Map </v>
      </c>
    </row>
    <row r="540" spans="1:20" ht="15" x14ac:dyDescent="0.25">
      <c r="A540" s="1" t="s">
        <v>2276</v>
      </c>
      <c r="B540" s="1" t="s">
        <v>2277</v>
      </c>
      <c r="C540" s="2">
        <v>2005</v>
      </c>
      <c r="D540" s="1" t="s">
        <v>24</v>
      </c>
      <c r="E540" s="2">
        <v>0</v>
      </c>
      <c r="F540" s="1" t="s">
        <v>2278</v>
      </c>
      <c r="G540" s="1" t="s">
        <v>2279</v>
      </c>
      <c r="H540" s="2">
        <v>900</v>
      </c>
      <c r="I540" s="2">
        <v>23750</v>
      </c>
      <c r="J540" s="1" t="s">
        <v>2280</v>
      </c>
      <c r="K540" s="1" t="s">
        <v>28</v>
      </c>
      <c r="L540" s="1" t="s">
        <v>51</v>
      </c>
      <c r="M540" s="1" t="s">
        <v>52</v>
      </c>
      <c r="N540" s="1" t="s">
        <v>162</v>
      </c>
      <c r="O540" s="1" t="s">
        <v>511</v>
      </c>
      <c r="P540" s="1" t="s">
        <v>162</v>
      </c>
      <c r="Q540" s="1" t="s">
        <v>506</v>
      </c>
      <c r="R540" s="1" t="s">
        <v>162</v>
      </c>
      <c r="S540" s="1" t="s">
        <v>71</v>
      </c>
      <c r="T540" s="3" t="str">
        <f>Sheet4!H540</f>
        <v xml:space="preserve"> View Map </v>
      </c>
    </row>
    <row r="541" spans="1:20" ht="15" x14ac:dyDescent="0.25">
      <c r="A541" s="1" t="s">
        <v>2281</v>
      </c>
      <c r="B541" s="1" t="s">
        <v>2282</v>
      </c>
      <c r="C541" s="2">
        <v>2023</v>
      </c>
      <c r="D541" s="1" t="s">
        <v>24</v>
      </c>
      <c r="E541" s="2">
        <v>1</v>
      </c>
      <c r="F541" s="1" t="s">
        <v>2283</v>
      </c>
      <c r="G541" s="1" t="s">
        <v>2284</v>
      </c>
      <c r="H541" s="2">
        <v>0</v>
      </c>
      <c r="I541" s="2">
        <v>100000</v>
      </c>
      <c r="J541" s="1" t="s">
        <v>2285</v>
      </c>
      <c r="K541" s="2">
        <v>75000</v>
      </c>
      <c r="L541" s="1" t="s">
        <v>68</v>
      </c>
      <c r="M541" s="1" t="s">
        <v>69</v>
      </c>
      <c r="N541" s="1" t="s">
        <v>322</v>
      </c>
      <c r="O541" s="1" t="s">
        <v>323</v>
      </c>
      <c r="P541" s="1" t="s">
        <v>162</v>
      </c>
      <c r="Q541" s="1" t="s">
        <v>316</v>
      </c>
      <c r="R541" s="1" t="s">
        <v>322</v>
      </c>
      <c r="S541" s="1" t="s">
        <v>71</v>
      </c>
      <c r="T541" s="3" t="str">
        <f>Sheet4!H541</f>
        <v xml:space="preserve"> View Map </v>
      </c>
    </row>
    <row r="542" spans="1:20" ht="15" x14ac:dyDescent="0.25">
      <c r="A542" s="1" t="s">
        <v>2286</v>
      </c>
      <c r="B542" s="1" t="s">
        <v>2287</v>
      </c>
      <c r="C542" s="2">
        <v>2005</v>
      </c>
      <c r="D542" s="1" t="s">
        <v>24</v>
      </c>
      <c r="E542" s="2">
        <v>1</v>
      </c>
      <c r="F542" s="1" t="s">
        <v>910</v>
      </c>
      <c r="G542" s="1"/>
      <c r="H542" s="2">
        <v>0</v>
      </c>
      <c r="I542" s="2">
        <v>18000</v>
      </c>
      <c r="J542" s="1" t="s">
        <v>2288</v>
      </c>
      <c r="K542" s="2">
        <v>18000</v>
      </c>
      <c r="L542" s="1" t="s">
        <v>51</v>
      </c>
      <c r="M542" s="1" t="s">
        <v>52</v>
      </c>
      <c r="N542" s="1" t="s">
        <v>53</v>
      </c>
      <c r="O542" s="1" t="s">
        <v>1600</v>
      </c>
      <c r="P542" s="1" t="s">
        <v>45</v>
      </c>
      <c r="Q542" s="1" t="s">
        <v>146</v>
      </c>
      <c r="R542" s="1" t="s">
        <v>443</v>
      </c>
      <c r="S542" s="1" t="s">
        <v>56</v>
      </c>
      <c r="T542" s="3" t="str">
        <f>Sheet4!H542</f>
        <v xml:space="preserve"> View Map </v>
      </c>
    </row>
    <row r="543" spans="1:20" ht="15" x14ac:dyDescent="0.25">
      <c r="A543" s="1" t="s">
        <v>2289</v>
      </c>
      <c r="B543" s="1" t="s">
        <v>2290</v>
      </c>
      <c r="C543" s="2">
        <v>2020</v>
      </c>
      <c r="D543" s="1" t="s">
        <v>24</v>
      </c>
      <c r="E543" s="2">
        <v>1</v>
      </c>
      <c r="F543" s="1" t="s">
        <v>2291</v>
      </c>
      <c r="G543" s="1" t="s">
        <v>2291</v>
      </c>
      <c r="H543" s="2">
        <v>800</v>
      </c>
      <c r="I543" s="2">
        <v>30000</v>
      </c>
      <c r="J543" s="1" t="s">
        <v>2292</v>
      </c>
      <c r="K543" s="2">
        <v>30000</v>
      </c>
      <c r="L543" s="1" t="s">
        <v>68</v>
      </c>
      <c r="M543" s="1" t="s">
        <v>69</v>
      </c>
      <c r="N543" s="1" t="s">
        <v>72</v>
      </c>
      <c r="O543" s="1" t="s">
        <v>598</v>
      </c>
      <c r="P543" s="1" t="s">
        <v>72</v>
      </c>
      <c r="Q543" s="1" t="s">
        <v>2047</v>
      </c>
      <c r="R543" s="1" t="s">
        <v>73</v>
      </c>
      <c r="S543" s="1" t="s">
        <v>71</v>
      </c>
      <c r="T543" s="3" t="str">
        <f>Sheet4!H543</f>
        <v xml:space="preserve"> View Map </v>
      </c>
    </row>
    <row r="544" spans="1:20" ht="15" x14ac:dyDescent="0.25">
      <c r="A544" s="1" t="s">
        <v>2293</v>
      </c>
      <c r="B544" s="1" t="s">
        <v>2294</v>
      </c>
      <c r="C544" s="2">
        <v>2024</v>
      </c>
      <c r="D544" s="1" t="s">
        <v>24</v>
      </c>
      <c r="E544" s="2">
        <v>1</v>
      </c>
      <c r="F544" s="1" t="s">
        <v>2295</v>
      </c>
      <c r="G544" s="1" t="s">
        <v>2296</v>
      </c>
      <c r="H544" s="2">
        <v>100</v>
      </c>
      <c r="I544" s="2">
        <v>40000</v>
      </c>
      <c r="J544" s="1" t="s">
        <v>2297</v>
      </c>
      <c r="K544" s="2">
        <v>40000</v>
      </c>
      <c r="L544" s="1" t="s">
        <v>68</v>
      </c>
      <c r="M544" s="1" t="s">
        <v>69</v>
      </c>
      <c r="N544" s="1" t="s">
        <v>275</v>
      </c>
      <c r="O544" s="1" t="s">
        <v>297</v>
      </c>
      <c r="P544" s="1" t="s">
        <v>275</v>
      </c>
      <c r="Q544" s="1" t="s">
        <v>276</v>
      </c>
      <c r="R544" s="1" t="s">
        <v>275</v>
      </c>
      <c r="S544" s="1" t="s">
        <v>71</v>
      </c>
      <c r="T544" s="3" t="str">
        <f>Sheet4!H544</f>
        <v xml:space="preserve"> View Map </v>
      </c>
    </row>
    <row r="545" spans="1:20" ht="15" x14ac:dyDescent="0.25">
      <c r="A545" s="1" t="s">
        <v>2298</v>
      </c>
      <c r="B545" s="1" t="s">
        <v>2299</v>
      </c>
      <c r="C545" s="2">
        <v>2005</v>
      </c>
      <c r="D545" s="1" t="s">
        <v>81</v>
      </c>
      <c r="E545" s="2">
        <v>0</v>
      </c>
      <c r="F545" s="1"/>
      <c r="G545" s="1" t="s">
        <v>2300</v>
      </c>
      <c r="H545" s="2">
        <v>1250</v>
      </c>
      <c r="I545" s="2">
        <v>0</v>
      </c>
      <c r="J545" s="1" t="s">
        <v>2301</v>
      </c>
      <c r="K545" s="1" t="s">
        <v>28</v>
      </c>
      <c r="L545" s="1" t="s">
        <v>68</v>
      </c>
      <c r="M545" s="1" t="s">
        <v>69</v>
      </c>
      <c r="N545" s="1" t="s">
        <v>322</v>
      </c>
      <c r="O545" s="1" t="s">
        <v>28</v>
      </c>
      <c r="P545" s="1" t="s">
        <v>45</v>
      </c>
      <c r="Q545" s="1" t="s">
        <v>1490</v>
      </c>
      <c r="R545" s="1" t="s">
        <v>322</v>
      </c>
      <c r="S545" s="1" t="s">
        <v>71</v>
      </c>
      <c r="T545" s="3" t="str">
        <f>Sheet4!H545</f>
        <v xml:space="preserve"> View Map </v>
      </c>
    </row>
    <row r="546" spans="1:20" ht="15" x14ac:dyDescent="0.25">
      <c r="A546" s="1" t="s">
        <v>2302</v>
      </c>
      <c r="B546" s="1" t="s">
        <v>2303</v>
      </c>
      <c r="C546" s="2">
        <v>2022</v>
      </c>
      <c r="D546" s="1" t="s">
        <v>24</v>
      </c>
      <c r="E546" s="2">
        <v>1</v>
      </c>
      <c r="F546" s="1" t="s">
        <v>2304</v>
      </c>
      <c r="G546" s="1"/>
      <c r="H546" s="2">
        <v>2900</v>
      </c>
      <c r="I546" s="2">
        <v>27000</v>
      </c>
      <c r="J546" s="1" t="s">
        <v>2305</v>
      </c>
      <c r="K546" s="1" t="s">
        <v>28</v>
      </c>
      <c r="L546" s="1" t="s">
        <v>29</v>
      </c>
      <c r="M546" s="1" t="s">
        <v>30</v>
      </c>
      <c r="N546" s="1" t="s">
        <v>20</v>
      </c>
      <c r="O546" s="1" t="s">
        <v>173</v>
      </c>
      <c r="P546" s="1" t="s">
        <v>20</v>
      </c>
      <c r="Q546" s="1" t="s">
        <v>168</v>
      </c>
      <c r="R546" s="1" t="s">
        <v>174</v>
      </c>
      <c r="S546" s="1" t="s">
        <v>71</v>
      </c>
      <c r="T546" s="3" t="str">
        <f>Sheet4!H546</f>
        <v xml:space="preserve"> View Map </v>
      </c>
    </row>
    <row r="547" spans="1:20" ht="15" x14ac:dyDescent="0.25">
      <c r="A547" s="1" t="s">
        <v>2306</v>
      </c>
      <c r="B547" s="1" t="s">
        <v>2307</v>
      </c>
      <c r="C547" s="2">
        <v>2005</v>
      </c>
      <c r="D547" s="1" t="s">
        <v>24</v>
      </c>
      <c r="E547" s="2">
        <v>1</v>
      </c>
      <c r="F547" s="1" t="s">
        <v>593</v>
      </c>
      <c r="G547" s="1" t="s">
        <v>2308</v>
      </c>
      <c r="H547" s="2">
        <v>335</v>
      </c>
      <c r="I547" s="2">
        <v>85000</v>
      </c>
      <c r="J547" s="1" t="s">
        <v>2309</v>
      </c>
      <c r="K547" s="2">
        <v>85000</v>
      </c>
      <c r="L547" s="1" t="s">
        <v>68</v>
      </c>
      <c r="M547" s="1" t="s">
        <v>69</v>
      </c>
      <c r="N547" s="1" t="s">
        <v>72</v>
      </c>
      <c r="O547" s="1" t="s">
        <v>598</v>
      </c>
      <c r="P547" s="1" t="s">
        <v>72</v>
      </c>
      <c r="Q547" s="1" t="s">
        <v>593</v>
      </c>
      <c r="R547" s="1" t="s">
        <v>73</v>
      </c>
      <c r="S547" s="1" t="s">
        <v>71</v>
      </c>
      <c r="T547" s="3" t="str">
        <f>Sheet4!H547</f>
        <v xml:space="preserve"> View Map </v>
      </c>
    </row>
    <row r="548" spans="1:20" ht="15" x14ac:dyDescent="0.25">
      <c r="A548" s="1" t="s">
        <v>2310</v>
      </c>
      <c r="B548" s="1" t="s">
        <v>2311</v>
      </c>
      <c r="C548" s="2">
        <v>2005</v>
      </c>
      <c r="D548" s="1" t="s">
        <v>24</v>
      </c>
      <c r="E548" s="2">
        <v>1</v>
      </c>
      <c r="F548" s="1" t="s">
        <v>2312</v>
      </c>
      <c r="G548" s="1"/>
      <c r="H548" s="2">
        <v>0</v>
      </c>
      <c r="I548" s="2">
        <v>65000</v>
      </c>
      <c r="J548" s="1" t="s">
        <v>2313</v>
      </c>
      <c r="K548" s="2">
        <v>65000</v>
      </c>
      <c r="L548" s="1" t="s">
        <v>68</v>
      </c>
      <c r="M548" s="1" t="s">
        <v>69</v>
      </c>
      <c r="N548" s="1" t="s">
        <v>72</v>
      </c>
      <c r="O548" s="1" t="s">
        <v>78</v>
      </c>
      <c r="P548" s="1" t="s">
        <v>72</v>
      </c>
      <c r="Q548" s="1" t="s">
        <v>73</v>
      </c>
      <c r="R548" s="1" t="s">
        <v>73</v>
      </c>
      <c r="S548" s="1" t="s">
        <v>32</v>
      </c>
      <c r="T548" s="3" t="str">
        <f>Sheet4!H548</f>
        <v xml:space="preserve"> View Map </v>
      </c>
    </row>
    <row r="549" spans="1:20" ht="15" x14ac:dyDescent="0.25">
      <c r="A549" s="1" t="s">
        <v>2314</v>
      </c>
      <c r="B549" s="1" t="s">
        <v>2315</v>
      </c>
      <c r="C549" s="2">
        <v>2005</v>
      </c>
      <c r="D549" s="1" t="s">
        <v>81</v>
      </c>
      <c r="E549" s="2">
        <v>0</v>
      </c>
      <c r="F549" s="1" t="s">
        <v>28</v>
      </c>
      <c r="G549" s="1" t="s">
        <v>28</v>
      </c>
      <c r="H549" s="1" t="s">
        <v>28</v>
      </c>
      <c r="I549" s="2">
        <v>0</v>
      </c>
      <c r="J549" s="1"/>
      <c r="K549" s="1" t="s">
        <v>28</v>
      </c>
      <c r="L549" s="1" t="s">
        <v>68</v>
      </c>
      <c r="M549" s="1" t="s">
        <v>69</v>
      </c>
      <c r="N549" s="1" t="s">
        <v>275</v>
      </c>
      <c r="O549" s="1" t="s">
        <v>28</v>
      </c>
      <c r="P549" s="1" t="s">
        <v>275</v>
      </c>
      <c r="Q549" s="1" t="s">
        <v>28</v>
      </c>
      <c r="R549" s="1" t="s">
        <v>275</v>
      </c>
      <c r="S549" s="1" t="s">
        <v>71</v>
      </c>
      <c r="T549" s="3" t="str">
        <f>Sheet4!H549</f>
        <v xml:space="preserve"> View Map </v>
      </c>
    </row>
    <row r="550" spans="1:20" ht="15" x14ac:dyDescent="0.25">
      <c r="A550" s="1" t="s">
        <v>2316</v>
      </c>
      <c r="B550" s="1" t="s">
        <v>2317</v>
      </c>
      <c r="C550" s="2">
        <v>2005</v>
      </c>
      <c r="D550" s="1" t="s">
        <v>24</v>
      </c>
      <c r="E550" s="2">
        <v>1</v>
      </c>
      <c r="F550" s="1" t="s">
        <v>2318</v>
      </c>
      <c r="G550" s="1"/>
      <c r="H550" s="2">
        <v>0</v>
      </c>
      <c r="I550" s="2">
        <v>45000</v>
      </c>
      <c r="J550" s="1" t="s">
        <v>2319</v>
      </c>
      <c r="K550" s="2">
        <v>45000</v>
      </c>
      <c r="L550" s="1" t="s">
        <v>68</v>
      </c>
      <c r="M550" s="1" t="s">
        <v>69</v>
      </c>
      <c r="N550" s="1" t="s">
        <v>72</v>
      </c>
      <c r="O550" s="1" t="s">
        <v>78</v>
      </c>
      <c r="P550" s="1" t="s">
        <v>72</v>
      </c>
      <c r="Q550" s="1" t="s">
        <v>73</v>
      </c>
      <c r="R550" s="1" t="s">
        <v>73</v>
      </c>
      <c r="S550" s="1" t="s">
        <v>71</v>
      </c>
      <c r="T550" s="3" t="str">
        <f>Sheet4!H550</f>
        <v xml:space="preserve"> View Map </v>
      </c>
    </row>
    <row r="551" spans="1:20" ht="15" x14ac:dyDescent="0.25">
      <c r="A551" s="1" t="s">
        <v>2320</v>
      </c>
      <c r="B551" s="1" t="s">
        <v>2321</v>
      </c>
      <c r="C551" s="2">
        <v>2005</v>
      </c>
      <c r="D551" s="1" t="s">
        <v>24</v>
      </c>
      <c r="E551" s="2">
        <v>1</v>
      </c>
      <c r="F551" s="1" t="s">
        <v>2322</v>
      </c>
      <c r="G551" s="1"/>
      <c r="H551" s="2">
        <v>0</v>
      </c>
      <c r="I551" s="2">
        <v>37000</v>
      </c>
      <c r="J551" s="1" t="s">
        <v>2323</v>
      </c>
      <c r="K551" s="2">
        <v>37000</v>
      </c>
      <c r="L551" s="1" t="s">
        <v>68</v>
      </c>
      <c r="M551" s="1" t="s">
        <v>69</v>
      </c>
      <c r="N551" s="1" t="s">
        <v>309</v>
      </c>
      <c r="O551" s="1" t="s">
        <v>918</v>
      </c>
      <c r="P551" s="1" t="s">
        <v>304</v>
      </c>
      <c r="Q551" s="1" t="s">
        <v>432</v>
      </c>
      <c r="R551" s="1" t="s">
        <v>309</v>
      </c>
      <c r="S551" s="1" t="s">
        <v>32</v>
      </c>
      <c r="T551" s="3" t="str">
        <f>Sheet4!H551</f>
        <v xml:space="preserve"> View Map </v>
      </c>
    </row>
    <row r="552" spans="1:20" ht="15" x14ac:dyDescent="0.25">
      <c r="A552" s="1" t="s">
        <v>2324</v>
      </c>
      <c r="B552" s="1" t="s">
        <v>2325</v>
      </c>
      <c r="C552" s="2">
        <v>2005</v>
      </c>
      <c r="D552" s="1" t="s">
        <v>24</v>
      </c>
      <c r="E552" s="2">
        <v>1</v>
      </c>
      <c r="F552" s="1" t="s">
        <v>2326</v>
      </c>
      <c r="G552" s="1"/>
      <c r="H552" s="2">
        <v>0</v>
      </c>
      <c r="I552" s="2">
        <v>85000</v>
      </c>
      <c r="J552" s="1" t="s">
        <v>2327</v>
      </c>
      <c r="K552" s="2">
        <v>85000</v>
      </c>
      <c r="L552" s="1" t="s">
        <v>68</v>
      </c>
      <c r="M552" s="1" t="s">
        <v>69</v>
      </c>
      <c r="N552" s="1" t="s">
        <v>162</v>
      </c>
      <c r="O552" s="1" t="s">
        <v>1568</v>
      </c>
      <c r="P552" s="1" t="s">
        <v>162</v>
      </c>
      <c r="Q552" s="1" t="s">
        <v>162</v>
      </c>
      <c r="R552" s="1" t="s">
        <v>162</v>
      </c>
      <c r="S552" s="1" t="s">
        <v>534</v>
      </c>
      <c r="T552" s="3" t="str">
        <f>Sheet4!H552</f>
        <v xml:space="preserve"> View Map </v>
      </c>
    </row>
    <row r="553" spans="1:20" ht="15" x14ac:dyDescent="0.25">
      <c r="A553" s="1" t="s">
        <v>2328</v>
      </c>
      <c r="B553" s="1" t="s">
        <v>2329</v>
      </c>
      <c r="C553" s="2">
        <v>2005</v>
      </c>
      <c r="D553" s="1" t="s">
        <v>24</v>
      </c>
      <c r="E553" s="2">
        <v>0</v>
      </c>
      <c r="F553" s="1" t="s">
        <v>2330</v>
      </c>
      <c r="G553" s="1"/>
      <c r="H553" s="2">
        <v>0</v>
      </c>
      <c r="I553" s="2">
        <v>96000</v>
      </c>
      <c r="J553" s="1" t="s">
        <v>2331</v>
      </c>
      <c r="K553" s="2">
        <v>96000</v>
      </c>
      <c r="L553" s="1" t="s">
        <v>68</v>
      </c>
      <c r="M553" s="1" t="s">
        <v>69</v>
      </c>
      <c r="N553" s="1" t="s">
        <v>309</v>
      </c>
      <c r="O553" s="1" t="s">
        <v>2332</v>
      </c>
      <c r="P553" s="1" t="s">
        <v>304</v>
      </c>
      <c r="Q553" s="1" t="s">
        <v>305</v>
      </c>
      <c r="R553" s="1" t="s">
        <v>275</v>
      </c>
      <c r="S553" s="1" t="s">
        <v>32</v>
      </c>
      <c r="T553" s="3" t="str">
        <f>Sheet4!H553</f>
        <v xml:space="preserve"> View Map </v>
      </c>
    </row>
    <row r="554" spans="1:20" ht="15" x14ac:dyDescent="0.25">
      <c r="A554" s="1" t="s">
        <v>2333</v>
      </c>
      <c r="B554" s="1" t="s">
        <v>2334</v>
      </c>
      <c r="C554" s="2">
        <v>2024</v>
      </c>
      <c r="D554" s="1" t="s">
        <v>24</v>
      </c>
      <c r="E554" s="2">
        <v>1</v>
      </c>
      <c r="F554" s="1" t="s">
        <v>2335</v>
      </c>
      <c r="G554" s="1"/>
      <c r="H554" s="2">
        <v>0</v>
      </c>
      <c r="I554" s="2">
        <v>63000</v>
      </c>
      <c r="J554" s="1" t="s">
        <v>2336</v>
      </c>
      <c r="K554" s="2">
        <v>63000</v>
      </c>
      <c r="L554" s="1" t="s">
        <v>68</v>
      </c>
      <c r="M554" s="1" t="s">
        <v>69</v>
      </c>
      <c r="N554" s="1" t="s">
        <v>162</v>
      </c>
      <c r="O554" s="1" t="s">
        <v>167</v>
      </c>
      <c r="P554" s="1" t="s">
        <v>162</v>
      </c>
      <c r="Q554" s="1" t="s">
        <v>311</v>
      </c>
      <c r="R554" s="1" t="s">
        <v>162</v>
      </c>
      <c r="S554" s="1" t="s">
        <v>71</v>
      </c>
      <c r="T554" s="3" t="str">
        <f>Sheet4!H554</f>
        <v xml:space="preserve"> View Map </v>
      </c>
    </row>
    <row r="555" spans="1:20" ht="15" x14ac:dyDescent="0.25">
      <c r="A555" s="1" t="s">
        <v>2337</v>
      </c>
      <c r="B555" s="1" t="s">
        <v>2338</v>
      </c>
      <c r="C555" s="2">
        <v>2021</v>
      </c>
      <c r="D555" s="1" t="s">
        <v>24</v>
      </c>
      <c r="E555" s="2">
        <v>1</v>
      </c>
      <c r="F555" s="1" t="s">
        <v>2339</v>
      </c>
      <c r="G555" s="1"/>
      <c r="H555" s="2">
        <v>457</v>
      </c>
      <c r="I555" s="2">
        <v>19500</v>
      </c>
      <c r="J555" s="1" t="s">
        <v>2340</v>
      </c>
      <c r="K555" s="2">
        <v>19500</v>
      </c>
      <c r="L555" s="1" t="s">
        <v>68</v>
      </c>
      <c r="M555" s="1" t="s">
        <v>69</v>
      </c>
      <c r="N555" s="1" t="s">
        <v>162</v>
      </c>
      <c r="O555" s="1" t="s">
        <v>511</v>
      </c>
      <c r="P555" s="1" t="s">
        <v>162</v>
      </c>
      <c r="Q555" s="1" t="s">
        <v>355</v>
      </c>
      <c r="R555" s="1" t="s">
        <v>162</v>
      </c>
      <c r="S555" s="1" t="s">
        <v>71</v>
      </c>
      <c r="T555" s="3" t="str">
        <f>Sheet4!H555</f>
        <v xml:space="preserve"> View Map </v>
      </c>
    </row>
    <row r="556" spans="1:20" ht="15" x14ac:dyDescent="0.25">
      <c r="A556" s="1" t="s">
        <v>2341</v>
      </c>
      <c r="B556" s="1" t="s">
        <v>2342</v>
      </c>
      <c r="C556" s="2">
        <v>2020</v>
      </c>
      <c r="D556" s="1" t="s">
        <v>24</v>
      </c>
      <c r="E556" s="2">
        <v>1</v>
      </c>
      <c r="F556" s="1" t="s">
        <v>644</v>
      </c>
      <c r="G556" s="1"/>
      <c r="H556" s="2">
        <v>0</v>
      </c>
      <c r="I556" s="2">
        <v>44000</v>
      </c>
      <c r="J556" s="1" t="s">
        <v>644</v>
      </c>
      <c r="K556" s="2">
        <v>44000</v>
      </c>
      <c r="L556" s="1" t="s">
        <v>68</v>
      </c>
      <c r="M556" s="1" t="s">
        <v>69</v>
      </c>
      <c r="N556" s="1" t="s">
        <v>72</v>
      </c>
      <c r="O556" s="1" t="s">
        <v>644</v>
      </c>
      <c r="P556" s="1" t="s">
        <v>72</v>
      </c>
      <c r="Q556" s="1" t="s">
        <v>811</v>
      </c>
      <c r="R556" s="1" t="s">
        <v>72</v>
      </c>
      <c r="S556" s="1" t="s">
        <v>71</v>
      </c>
      <c r="T556" s="3" t="str">
        <f>Sheet4!H556</f>
        <v xml:space="preserve"> View Map </v>
      </c>
    </row>
    <row r="557" spans="1:20" ht="15" x14ac:dyDescent="0.25">
      <c r="A557" s="1" t="s">
        <v>2343</v>
      </c>
      <c r="B557" s="1" t="s">
        <v>2344</v>
      </c>
      <c r="C557" s="2">
        <v>2022</v>
      </c>
      <c r="D557" s="1" t="s">
        <v>24</v>
      </c>
      <c r="E557" s="2">
        <v>1</v>
      </c>
      <c r="F557" s="1" t="s">
        <v>2345</v>
      </c>
      <c r="G557" s="1"/>
      <c r="H557" s="2">
        <v>0</v>
      </c>
      <c r="I557" s="2">
        <v>20000</v>
      </c>
      <c r="J557" s="1" t="s">
        <v>2346</v>
      </c>
      <c r="K557" s="2">
        <v>20000</v>
      </c>
      <c r="L557" s="1" t="s">
        <v>68</v>
      </c>
      <c r="M557" s="1" t="s">
        <v>69</v>
      </c>
      <c r="N557" s="1" t="s">
        <v>275</v>
      </c>
      <c r="O557" s="1" t="s">
        <v>282</v>
      </c>
      <c r="P557" s="1" t="s">
        <v>275</v>
      </c>
      <c r="Q557" s="1" t="s">
        <v>2132</v>
      </c>
      <c r="R557" s="1" t="s">
        <v>275</v>
      </c>
      <c r="S557" s="1" t="s">
        <v>71</v>
      </c>
      <c r="T557" s="3" t="str">
        <f>Sheet4!H557</f>
        <v xml:space="preserve"> View Map </v>
      </c>
    </row>
    <row r="558" spans="1:20" ht="15" x14ac:dyDescent="0.25">
      <c r="A558" s="1" t="s">
        <v>2347</v>
      </c>
      <c r="B558" s="1" t="s">
        <v>2348</v>
      </c>
      <c r="C558" s="2">
        <v>2013</v>
      </c>
      <c r="D558" s="1" t="s">
        <v>24</v>
      </c>
      <c r="E558" s="2">
        <v>1</v>
      </c>
      <c r="F558" s="1" t="s">
        <v>2349</v>
      </c>
      <c r="G558" s="1"/>
      <c r="H558" s="2">
        <v>870</v>
      </c>
      <c r="I558" s="2">
        <v>60000</v>
      </c>
      <c r="J558" s="1" t="s">
        <v>2350</v>
      </c>
      <c r="K558" s="2">
        <v>30000</v>
      </c>
      <c r="L558" s="1" t="s">
        <v>51</v>
      </c>
      <c r="M558" s="1" t="s">
        <v>159</v>
      </c>
      <c r="N558" s="1" t="s">
        <v>160</v>
      </c>
      <c r="O558" s="1" t="s">
        <v>187</v>
      </c>
      <c r="P558" s="1" t="s">
        <v>153</v>
      </c>
      <c r="Q558" s="1" t="s">
        <v>184</v>
      </c>
      <c r="R558" s="1" t="s">
        <v>188</v>
      </c>
      <c r="S558" s="1" t="s">
        <v>32</v>
      </c>
      <c r="T558" s="3" t="str">
        <f>Sheet4!H558</f>
        <v xml:space="preserve"> View Map </v>
      </c>
    </row>
    <row r="559" spans="1:20" ht="15" x14ac:dyDescent="0.25">
      <c r="A559" s="1" t="s">
        <v>2351</v>
      </c>
      <c r="B559" s="1" t="s">
        <v>2352</v>
      </c>
      <c r="C559" s="2">
        <v>2019</v>
      </c>
      <c r="D559" s="1" t="s">
        <v>24</v>
      </c>
      <c r="E559" s="2">
        <v>1</v>
      </c>
      <c r="F559" s="1" t="s">
        <v>2353</v>
      </c>
      <c r="G559" s="1"/>
      <c r="H559" s="2">
        <v>0</v>
      </c>
      <c r="I559" s="2">
        <v>35000</v>
      </c>
      <c r="J559" s="1" t="s">
        <v>2354</v>
      </c>
      <c r="K559" s="2">
        <v>35000</v>
      </c>
      <c r="L559" s="1" t="s">
        <v>68</v>
      </c>
      <c r="M559" s="1" t="s">
        <v>69</v>
      </c>
      <c r="N559" s="1" t="s">
        <v>162</v>
      </c>
      <c r="O559" s="1" t="s">
        <v>1426</v>
      </c>
      <c r="P559" s="1" t="s">
        <v>304</v>
      </c>
      <c r="Q559" s="1" t="s">
        <v>432</v>
      </c>
      <c r="R559" s="1" t="s">
        <v>162</v>
      </c>
      <c r="S559" s="1" t="s">
        <v>71</v>
      </c>
      <c r="T559" s="3" t="str">
        <f>Sheet4!H559</f>
        <v xml:space="preserve"> View Map </v>
      </c>
    </row>
    <row r="560" spans="1:20" ht="15" x14ac:dyDescent="0.25">
      <c r="A560" s="1" t="s">
        <v>2355</v>
      </c>
      <c r="B560" s="1" t="s">
        <v>2356</v>
      </c>
      <c r="C560" s="2">
        <v>2005</v>
      </c>
      <c r="D560" s="1" t="s">
        <v>24</v>
      </c>
      <c r="E560" s="2">
        <v>1</v>
      </c>
      <c r="F560" s="1" t="s">
        <v>2357</v>
      </c>
      <c r="G560" s="1" t="s">
        <v>133</v>
      </c>
      <c r="H560" s="2">
        <v>0</v>
      </c>
      <c r="I560" s="2">
        <v>42000</v>
      </c>
      <c r="J560" s="1" t="s">
        <v>2358</v>
      </c>
      <c r="K560" s="2">
        <v>42000</v>
      </c>
      <c r="L560" s="1" t="s">
        <v>29</v>
      </c>
      <c r="M560" s="1" t="s">
        <v>134</v>
      </c>
      <c r="N560" s="1" t="s">
        <v>160</v>
      </c>
      <c r="O560" s="1" t="s">
        <v>1431</v>
      </c>
      <c r="P560" s="1" t="s">
        <v>153</v>
      </c>
      <c r="Q560" s="1" t="s">
        <v>154</v>
      </c>
      <c r="R560" s="1" t="s">
        <v>136</v>
      </c>
      <c r="S560" s="1" t="s">
        <v>32</v>
      </c>
      <c r="T560" s="3" t="str">
        <f>Sheet4!H560</f>
        <v xml:space="preserve"> View Map </v>
      </c>
    </row>
    <row r="561" spans="1:20" ht="15" x14ac:dyDescent="0.25">
      <c r="A561" s="1" t="s">
        <v>2359</v>
      </c>
      <c r="B561" s="1" t="s">
        <v>2360</v>
      </c>
      <c r="C561" s="2">
        <v>2005</v>
      </c>
      <c r="D561" s="1" t="s">
        <v>24</v>
      </c>
      <c r="E561" s="2">
        <v>1</v>
      </c>
      <c r="F561" s="1" t="s">
        <v>922</v>
      </c>
      <c r="G561" s="1"/>
      <c r="H561" s="2">
        <v>0</v>
      </c>
      <c r="I561" s="2">
        <v>0</v>
      </c>
      <c r="J561" s="1" t="s">
        <v>922</v>
      </c>
      <c r="K561" s="2">
        <v>0</v>
      </c>
      <c r="L561" s="1" t="s">
        <v>29</v>
      </c>
      <c r="M561" s="1" t="s">
        <v>30</v>
      </c>
      <c r="N561" s="1" t="s">
        <v>20</v>
      </c>
      <c r="O561" s="1" t="s">
        <v>31</v>
      </c>
      <c r="P561" s="1" t="s">
        <v>20</v>
      </c>
      <c r="Q561" s="1" t="s">
        <v>33</v>
      </c>
      <c r="R561" s="1" t="s">
        <v>90</v>
      </c>
      <c r="S561" s="1" t="s">
        <v>71</v>
      </c>
      <c r="T561" s="3" t="str">
        <f>Sheet4!H561</f>
        <v xml:space="preserve"> View Map </v>
      </c>
    </row>
    <row r="562" spans="1:20" ht="15" x14ac:dyDescent="0.25">
      <c r="A562" s="1" t="s">
        <v>2361</v>
      </c>
      <c r="B562" s="1" t="s">
        <v>2362</v>
      </c>
      <c r="C562" s="2">
        <v>2005</v>
      </c>
      <c r="D562" s="1" t="s">
        <v>24</v>
      </c>
      <c r="E562" s="2">
        <v>0</v>
      </c>
      <c r="F562" s="1"/>
      <c r="G562" s="1"/>
      <c r="H562" s="2">
        <v>0</v>
      </c>
      <c r="I562" s="2">
        <v>0</v>
      </c>
      <c r="J562" s="1" t="s">
        <v>2363</v>
      </c>
      <c r="K562" s="1" t="s">
        <v>28</v>
      </c>
      <c r="L562" s="1" t="s">
        <v>68</v>
      </c>
      <c r="M562" s="1" t="s">
        <v>69</v>
      </c>
      <c r="N562" s="1" t="s">
        <v>162</v>
      </c>
      <c r="O562" s="1" t="s">
        <v>28</v>
      </c>
      <c r="P562" s="1" t="s">
        <v>162</v>
      </c>
      <c r="Q562" s="1" t="s">
        <v>311</v>
      </c>
      <c r="R562" s="1" t="s">
        <v>162</v>
      </c>
      <c r="S562" s="1" t="s">
        <v>71</v>
      </c>
      <c r="T562" s="3" t="str">
        <f>Sheet4!H562</f>
        <v xml:space="preserve"> View Map </v>
      </c>
    </row>
    <row r="563" spans="1:20" ht="15" x14ac:dyDescent="0.25">
      <c r="A563" s="1" t="s">
        <v>2364</v>
      </c>
      <c r="B563" s="1" t="s">
        <v>2365</v>
      </c>
      <c r="C563" s="2">
        <v>2005</v>
      </c>
      <c r="D563" s="1" t="s">
        <v>24</v>
      </c>
      <c r="E563" s="2">
        <v>0</v>
      </c>
      <c r="F563" s="1" t="s">
        <v>2366</v>
      </c>
      <c r="G563" s="1"/>
      <c r="H563" s="2">
        <v>0</v>
      </c>
      <c r="I563" s="2">
        <v>28000</v>
      </c>
      <c r="J563" s="1" t="s">
        <v>2367</v>
      </c>
      <c r="K563" s="2">
        <v>28000</v>
      </c>
      <c r="L563" s="1" t="s">
        <v>68</v>
      </c>
      <c r="M563" s="1" t="s">
        <v>69</v>
      </c>
      <c r="N563" s="1" t="s">
        <v>275</v>
      </c>
      <c r="O563" s="1" t="s">
        <v>407</v>
      </c>
      <c r="P563" s="1" t="s">
        <v>275</v>
      </c>
      <c r="Q563" s="1" t="s">
        <v>402</v>
      </c>
      <c r="R563" s="1" t="s">
        <v>275</v>
      </c>
      <c r="S563" s="1" t="s">
        <v>32</v>
      </c>
      <c r="T563" s="3" t="str">
        <f>Sheet4!H563</f>
        <v xml:space="preserve"> View Map </v>
      </c>
    </row>
    <row r="564" spans="1:20" ht="15" x14ac:dyDescent="0.25">
      <c r="A564" s="1" t="s">
        <v>2368</v>
      </c>
      <c r="B564" s="1" t="s">
        <v>2369</v>
      </c>
      <c r="C564" s="2">
        <v>2005</v>
      </c>
      <c r="D564" s="1" t="s">
        <v>24</v>
      </c>
      <c r="E564" s="2">
        <v>1</v>
      </c>
      <c r="F564" s="1" t="s">
        <v>2370</v>
      </c>
      <c r="G564" s="1"/>
      <c r="H564" s="2">
        <v>0</v>
      </c>
      <c r="I564" s="2">
        <v>28000</v>
      </c>
      <c r="J564" s="1" t="s">
        <v>2371</v>
      </c>
      <c r="K564" s="2">
        <v>28000</v>
      </c>
      <c r="L564" s="1" t="s">
        <v>68</v>
      </c>
      <c r="M564" s="1" t="s">
        <v>69</v>
      </c>
      <c r="N564" s="1" t="s">
        <v>322</v>
      </c>
      <c r="O564" s="1" t="s">
        <v>323</v>
      </c>
      <c r="P564" s="1" t="s">
        <v>162</v>
      </c>
      <c r="Q564" s="1" t="s">
        <v>316</v>
      </c>
      <c r="R564" s="1" t="s">
        <v>784</v>
      </c>
      <c r="S564" s="1" t="s">
        <v>32</v>
      </c>
      <c r="T564" s="3" t="str">
        <f>Sheet4!H564</f>
        <v xml:space="preserve"> View Map </v>
      </c>
    </row>
    <row r="565" spans="1:20" ht="15" x14ac:dyDescent="0.25">
      <c r="A565" s="1" t="s">
        <v>2372</v>
      </c>
      <c r="B565" s="1" t="s">
        <v>2373</v>
      </c>
      <c r="C565" s="2">
        <v>2005</v>
      </c>
      <c r="D565" s="1" t="s">
        <v>24</v>
      </c>
      <c r="E565" s="2">
        <v>1</v>
      </c>
      <c r="F565" s="1" t="s">
        <v>2374</v>
      </c>
      <c r="G565" s="1"/>
      <c r="H565" s="2">
        <v>0</v>
      </c>
      <c r="I565" s="2">
        <v>66000</v>
      </c>
      <c r="J565" s="1" t="s">
        <v>2375</v>
      </c>
      <c r="K565" s="2">
        <v>66000</v>
      </c>
      <c r="L565" s="1" t="s">
        <v>68</v>
      </c>
      <c r="M565" s="1" t="s">
        <v>69</v>
      </c>
      <c r="N565" s="1" t="s">
        <v>72</v>
      </c>
      <c r="O565" s="1" t="s">
        <v>115</v>
      </c>
      <c r="P565" s="1" t="s">
        <v>72</v>
      </c>
      <c r="Q565" s="1" t="s">
        <v>639</v>
      </c>
      <c r="R565" s="1" t="s">
        <v>645</v>
      </c>
      <c r="S565" s="1" t="s">
        <v>71</v>
      </c>
      <c r="T565" s="3" t="str">
        <f>Sheet4!H565</f>
        <v xml:space="preserve"> View Map </v>
      </c>
    </row>
    <row r="566" spans="1:20" ht="15" x14ac:dyDescent="0.25">
      <c r="A566" s="1" t="s">
        <v>2376</v>
      </c>
      <c r="B566" s="1" t="s">
        <v>2377</v>
      </c>
      <c r="C566" s="2">
        <v>2005</v>
      </c>
      <c r="D566" s="1" t="s">
        <v>24</v>
      </c>
      <c r="E566" s="2">
        <v>0</v>
      </c>
      <c r="F566" s="1"/>
      <c r="G566" s="1"/>
      <c r="H566" s="2">
        <v>0</v>
      </c>
      <c r="I566" s="2">
        <v>0</v>
      </c>
      <c r="J566" s="1" t="s">
        <v>2378</v>
      </c>
      <c r="K566" s="1" t="s">
        <v>28</v>
      </c>
      <c r="L566" s="1" t="s">
        <v>68</v>
      </c>
      <c r="M566" s="1" t="s">
        <v>69</v>
      </c>
      <c r="N566" s="1" t="s">
        <v>275</v>
      </c>
      <c r="O566" s="1" t="s">
        <v>297</v>
      </c>
      <c r="P566" s="1" t="s">
        <v>275</v>
      </c>
      <c r="Q566" s="1" t="s">
        <v>276</v>
      </c>
      <c r="R566" s="1" t="s">
        <v>275</v>
      </c>
      <c r="S566" s="1" t="s">
        <v>71</v>
      </c>
      <c r="T566" s="3" t="str">
        <f>Sheet4!H566</f>
        <v xml:space="preserve"> View Map </v>
      </c>
    </row>
    <row r="567" spans="1:20" ht="15" x14ac:dyDescent="0.25">
      <c r="A567" s="1" t="s">
        <v>2379</v>
      </c>
      <c r="B567" s="1" t="s">
        <v>2380</v>
      </c>
      <c r="C567" s="2">
        <v>2024</v>
      </c>
      <c r="D567" s="1" t="s">
        <v>24</v>
      </c>
      <c r="E567" s="2">
        <v>1</v>
      </c>
      <c r="F567" s="1" t="s">
        <v>2381</v>
      </c>
      <c r="G567" s="1"/>
      <c r="H567" s="2">
        <v>0</v>
      </c>
      <c r="I567" s="2">
        <v>16000</v>
      </c>
      <c r="J567" s="1" t="s">
        <v>2382</v>
      </c>
      <c r="K567" s="2">
        <v>16000</v>
      </c>
      <c r="L567" s="1" t="s">
        <v>68</v>
      </c>
      <c r="M567" s="1" t="s">
        <v>69</v>
      </c>
      <c r="N567" s="1" t="s">
        <v>275</v>
      </c>
      <c r="O567" s="1" t="s">
        <v>297</v>
      </c>
      <c r="P567" s="1" t="s">
        <v>275</v>
      </c>
      <c r="Q567" s="1" t="s">
        <v>402</v>
      </c>
      <c r="R567" s="1" t="s">
        <v>275</v>
      </c>
      <c r="S567" s="1" t="s">
        <v>71</v>
      </c>
      <c r="T567" s="3" t="str">
        <f>Sheet4!H567</f>
        <v xml:space="preserve"> View Map </v>
      </c>
    </row>
    <row r="568" spans="1:20" ht="15" x14ac:dyDescent="0.25">
      <c r="A568" s="1" t="s">
        <v>2383</v>
      </c>
      <c r="B568" s="1" t="s">
        <v>20</v>
      </c>
      <c r="C568" s="2">
        <v>0</v>
      </c>
      <c r="D568" s="1" t="s">
        <v>24</v>
      </c>
      <c r="E568" s="2">
        <v>1</v>
      </c>
      <c r="F568" s="1" t="s">
        <v>2384</v>
      </c>
      <c r="G568" s="1" t="s">
        <v>2385</v>
      </c>
      <c r="H568" s="2">
        <v>6100</v>
      </c>
      <c r="I568" s="2">
        <v>35000</v>
      </c>
      <c r="J568" s="1" t="s">
        <v>2386</v>
      </c>
      <c r="K568" s="2">
        <v>35000</v>
      </c>
      <c r="L568" s="1" t="s">
        <v>29</v>
      </c>
      <c r="M568" s="1" t="s">
        <v>30</v>
      </c>
      <c r="N568" s="1" t="s">
        <v>20</v>
      </c>
      <c r="O568" s="1" t="s">
        <v>43</v>
      </c>
      <c r="P568" s="1" t="s">
        <v>20</v>
      </c>
      <c r="Q568" s="1" t="s">
        <v>21</v>
      </c>
      <c r="R568" s="1" t="s">
        <v>293</v>
      </c>
      <c r="S568" s="1" t="s">
        <v>32</v>
      </c>
      <c r="T568" s="3" t="str">
        <f>Sheet4!H568</f>
        <v xml:space="preserve"> View Map </v>
      </c>
    </row>
    <row r="569" spans="1:20" ht="15" x14ac:dyDescent="0.25">
      <c r="A569" s="1" t="s">
        <v>2387</v>
      </c>
      <c r="B569" s="1" t="s">
        <v>2388</v>
      </c>
      <c r="C569" s="2">
        <v>2005</v>
      </c>
      <c r="D569" s="1" t="s">
        <v>24</v>
      </c>
      <c r="E569" s="2">
        <v>0</v>
      </c>
      <c r="F569" s="1" t="s">
        <v>2291</v>
      </c>
      <c r="G569" s="1"/>
      <c r="H569" s="2">
        <v>0</v>
      </c>
      <c r="I569" s="2">
        <v>12750</v>
      </c>
      <c r="J569" s="1" t="s">
        <v>2389</v>
      </c>
      <c r="K569" s="1" t="s">
        <v>28</v>
      </c>
      <c r="L569" s="1" t="s">
        <v>68</v>
      </c>
      <c r="M569" s="1" t="s">
        <v>69</v>
      </c>
      <c r="N569" s="1" t="s">
        <v>72</v>
      </c>
      <c r="O569" s="1" t="s">
        <v>598</v>
      </c>
      <c r="P569" s="1" t="s">
        <v>72</v>
      </c>
      <c r="Q569" s="1" t="s">
        <v>639</v>
      </c>
      <c r="R569" s="1" t="s">
        <v>73</v>
      </c>
      <c r="S569" s="1" t="s">
        <v>71</v>
      </c>
      <c r="T569" s="3" t="str">
        <f>Sheet4!H569</f>
        <v xml:space="preserve"> View Map </v>
      </c>
    </row>
    <row r="570" spans="1:20" ht="15" x14ac:dyDescent="0.25">
      <c r="A570" s="1" t="s">
        <v>2390</v>
      </c>
      <c r="B570" s="1" t="s">
        <v>2391</v>
      </c>
      <c r="C570" s="2">
        <v>2013</v>
      </c>
      <c r="D570" s="1" t="s">
        <v>24</v>
      </c>
      <c r="E570" s="2">
        <v>1</v>
      </c>
      <c r="F570" s="1" t="s">
        <v>2392</v>
      </c>
      <c r="G570" s="1"/>
      <c r="H570" s="2">
        <v>172</v>
      </c>
      <c r="I570" s="2">
        <v>35000</v>
      </c>
      <c r="J570" s="1" t="s">
        <v>2393</v>
      </c>
      <c r="K570" s="2">
        <v>35000</v>
      </c>
      <c r="L570" s="1" t="s">
        <v>68</v>
      </c>
      <c r="M570" s="1" t="s">
        <v>69</v>
      </c>
      <c r="N570" s="1" t="s">
        <v>275</v>
      </c>
      <c r="O570" s="1" t="s">
        <v>282</v>
      </c>
      <c r="P570" s="1" t="s">
        <v>275</v>
      </c>
      <c r="Q570" s="1" t="s">
        <v>276</v>
      </c>
      <c r="R570" s="1" t="s">
        <v>275</v>
      </c>
      <c r="S570" s="1" t="s">
        <v>71</v>
      </c>
      <c r="T570" s="3" t="str">
        <f>Sheet4!H570</f>
        <v xml:space="preserve"> View Map </v>
      </c>
    </row>
    <row r="571" spans="1:20" ht="15" x14ac:dyDescent="0.25">
      <c r="A571" s="1" t="s">
        <v>2394</v>
      </c>
      <c r="B571" s="1" t="s">
        <v>2395</v>
      </c>
      <c r="C571" s="2">
        <v>2005</v>
      </c>
      <c r="D571" s="1" t="s">
        <v>24</v>
      </c>
      <c r="E571" s="2">
        <v>1</v>
      </c>
      <c r="F571" s="1" t="s">
        <v>2396</v>
      </c>
      <c r="G571" s="1"/>
      <c r="H571" s="2">
        <v>0</v>
      </c>
      <c r="I571" s="2">
        <v>45750</v>
      </c>
      <c r="J571" s="1" t="s">
        <v>2397</v>
      </c>
      <c r="K571" s="2">
        <v>45750</v>
      </c>
      <c r="L571" s="1" t="s">
        <v>68</v>
      </c>
      <c r="M571" s="1" t="s">
        <v>69</v>
      </c>
      <c r="N571" s="1" t="s">
        <v>322</v>
      </c>
      <c r="O571" s="1" t="s">
        <v>323</v>
      </c>
      <c r="P571" s="1" t="s">
        <v>162</v>
      </c>
      <c r="Q571" s="1" t="s">
        <v>316</v>
      </c>
      <c r="R571" s="1" t="s">
        <v>784</v>
      </c>
      <c r="S571" s="1" t="s">
        <v>71</v>
      </c>
      <c r="T571" s="3" t="str">
        <f>Sheet4!H571</f>
        <v xml:space="preserve"> View Map </v>
      </c>
    </row>
    <row r="572" spans="1:20" ht="15" x14ac:dyDescent="0.25">
      <c r="A572" s="1" t="s">
        <v>2398</v>
      </c>
      <c r="B572" s="1" t="s">
        <v>2399</v>
      </c>
      <c r="C572" s="2">
        <v>2024</v>
      </c>
      <c r="D572" s="1" t="s">
        <v>24</v>
      </c>
      <c r="E572" s="2">
        <v>1</v>
      </c>
      <c r="F572" s="1" t="s">
        <v>2400</v>
      </c>
      <c r="G572" s="1" t="s">
        <v>2400</v>
      </c>
      <c r="H572" s="2">
        <v>0</v>
      </c>
      <c r="I572" s="2">
        <v>25500</v>
      </c>
      <c r="J572" s="1" t="s">
        <v>2401</v>
      </c>
      <c r="K572" s="2">
        <v>25500</v>
      </c>
      <c r="L572" s="1" t="s">
        <v>68</v>
      </c>
      <c r="M572" s="1" t="s">
        <v>69</v>
      </c>
      <c r="N572" s="1" t="s">
        <v>72</v>
      </c>
      <c r="O572" s="1" t="s">
        <v>598</v>
      </c>
      <c r="P572" s="1" t="s">
        <v>72</v>
      </c>
      <c r="Q572" s="1" t="s">
        <v>593</v>
      </c>
      <c r="R572" s="1" t="s">
        <v>72</v>
      </c>
      <c r="S572" s="1" t="s">
        <v>71</v>
      </c>
      <c r="T572" s="3" t="str">
        <f>Sheet4!H572</f>
        <v xml:space="preserve"> View Map </v>
      </c>
    </row>
    <row r="573" spans="1:20" ht="15" x14ac:dyDescent="0.25">
      <c r="A573" s="1" t="s">
        <v>2402</v>
      </c>
      <c r="B573" s="1" t="s">
        <v>2403</v>
      </c>
      <c r="C573" s="2">
        <v>2019</v>
      </c>
      <c r="D573" s="1" t="s">
        <v>24</v>
      </c>
      <c r="E573" s="2">
        <v>1</v>
      </c>
      <c r="F573" s="1" t="s">
        <v>2404</v>
      </c>
      <c r="G573" s="1" t="s">
        <v>2405</v>
      </c>
      <c r="H573" s="2">
        <v>0</v>
      </c>
      <c r="I573" s="2">
        <v>24000</v>
      </c>
      <c r="J573" s="1" t="s">
        <v>2406</v>
      </c>
      <c r="K573" s="2">
        <v>24000</v>
      </c>
      <c r="L573" s="1" t="s">
        <v>68</v>
      </c>
      <c r="M573" s="1" t="s">
        <v>69</v>
      </c>
      <c r="N573" s="1" t="s">
        <v>275</v>
      </c>
      <c r="O573" s="1" t="s">
        <v>407</v>
      </c>
      <c r="P573" s="1" t="s">
        <v>275</v>
      </c>
      <c r="Q573" s="1" t="s">
        <v>402</v>
      </c>
      <c r="R573" s="1" t="s">
        <v>275</v>
      </c>
      <c r="S573" s="1" t="s">
        <v>71</v>
      </c>
      <c r="T573" s="3" t="str">
        <f>Sheet4!H573</f>
        <v xml:space="preserve"> View Map </v>
      </c>
    </row>
    <row r="574" spans="1:20" ht="15" x14ac:dyDescent="0.25">
      <c r="A574" s="1" t="s">
        <v>2407</v>
      </c>
      <c r="B574" s="1" t="s">
        <v>2408</v>
      </c>
      <c r="C574" s="2">
        <v>2005</v>
      </c>
      <c r="D574" s="1" t="s">
        <v>24</v>
      </c>
      <c r="E574" s="2">
        <v>1</v>
      </c>
      <c r="F574" s="1" t="s">
        <v>2409</v>
      </c>
      <c r="G574" s="1"/>
      <c r="H574" s="2">
        <v>50</v>
      </c>
      <c r="I574" s="2">
        <v>93750</v>
      </c>
      <c r="J574" s="1" t="s">
        <v>2410</v>
      </c>
      <c r="K574" s="2">
        <v>93750</v>
      </c>
      <c r="L574" s="1" t="s">
        <v>68</v>
      </c>
      <c r="M574" s="1" t="s">
        <v>69</v>
      </c>
      <c r="N574" s="1" t="s">
        <v>275</v>
      </c>
      <c r="O574" s="1" t="s">
        <v>1060</v>
      </c>
      <c r="P574" s="1" t="s">
        <v>275</v>
      </c>
      <c r="Q574" s="1" t="s">
        <v>275</v>
      </c>
      <c r="R574" s="1" t="s">
        <v>275</v>
      </c>
      <c r="S574" s="1" t="s">
        <v>71</v>
      </c>
      <c r="T574" s="3" t="str">
        <f>Sheet4!H574</f>
        <v xml:space="preserve"> View Map </v>
      </c>
    </row>
    <row r="575" spans="1:20" ht="15" x14ac:dyDescent="0.25">
      <c r="A575" s="1" t="s">
        <v>2411</v>
      </c>
      <c r="B575" s="1" t="s">
        <v>2412</v>
      </c>
      <c r="C575" s="2">
        <v>2024</v>
      </c>
      <c r="D575" s="1" t="s">
        <v>24</v>
      </c>
      <c r="E575" s="2">
        <v>1</v>
      </c>
      <c r="F575" s="1" t="s">
        <v>2413</v>
      </c>
      <c r="G575" s="1"/>
      <c r="H575" s="2">
        <v>0</v>
      </c>
      <c r="I575" s="2">
        <v>25000</v>
      </c>
      <c r="J575" s="1" t="s">
        <v>2414</v>
      </c>
      <c r="K575" s="2">
        <v>25000</v>
      </c>
      <c r="L575" s="1" t="s">
        <v>68</v>
      </c>
      <c r="M575" s="1" t="s">
        <v>69</v>
      </c>
      <c r="N575" s="1" t="s">
        <v>162</v>
      </c>
      <c r="O575" s="1" t="s">
        <v>167</v>
      </c>
      <c r="P575" s="1" t="s">
        <v>162</v>
      </c>
      <c r="Q575" s="1" t="s">
        <v>311</v>
      </c>
      <c r="R575" s="1" t="s">
        <v>162</v>
      </c>
      <c r="S575" s="1" t="s">
        <v>71</v>
      </c>
      <c r="T575" s="3" t="str">
        <f>Sheet4!H575</f>
        <v xml:space="preserve"> View Map </v>
      </c>
    </row>
    <row r="576" spans="1:20" ht="15" x14ac:dyDescent="0.25">
      <c r="A576" s="1" t="s">
        <v>2415</v>
      </c>
      <c r="B576" s="1" t="s">
        <v>2416</v>
      </c>
      <c r="C576" s="2">
        <v>2021</v>
      </c>
      <c r="D576" s="1" t="s">
        <v>24</v>
      </c>
      <c r="E576" s="2">
        <v>1</v>
      </c>
      <c r="F576" s="1" t="s">
        <v>2417</v>
      </c>
      <c r="G576" s="1"/>
      <c r="H576" s="2">
        <v>0</v>
      </c>
      <c r="I576" s="2">
        <v>10000</v>
      </c>
      <c r="J576" s="1" t="s">
        <v>2418</v>
      </c>
      <c r="K576" s="1" t="s">
        <v>28</v>
      </c>
      <c r="L576" s="1" t="s">
        <v>68</v>
      </c>
      <c r="M576" s="1" t="s">
        <v>69</v>
      </c>
      <c r="N576" s="1" t="s">
        <v>72</v>
      </c>
      <c r="O576" s="1" t="s">
        <v>2419</v>
      </c>
      <c r="P576" s="1" t="s">
        <v>72</v>
      </c>
      <c r="Q576" s="1" t="s">
        <v>811</v>
      </c>
      <c r="R576" s="1" t="s">
        <v>72</v>
      </c>
      <c r="S576" s="1" t="s">
        <v>71</v>
      </c>
      <c r="T576" s="3" t="str">
        <f>Sheet4!H576</f>
        <v xml:space="preserve"> View Map </v>
      </c>
    </row>
    <row r="577" spans="1:20" ht="15" x14ac:dyDescent="0.25">
      <c r="A577" s="1" t="s">
        <v>2420</v>
      </c>
      <c r="B577" s="1" t="s">
        <v>2421</v>
      </c>
      <c r="C577" s="2">
        <v>2015</v>
      </c>
      <c r="D577" s="1" t="s">
        <v>24</v>
      </c>
      <c r="E577" s="2">
        <v>1</v>
      </c>
      <c r="F577" s="1" t="s">
        <v>2422</v>
      </c>
      <c r="G577" s="1" t="s">
        <v>2423</v>
      </c>
      <c r="H577" s="2">
        <v>25</v>
      </c>
      <c r="I577" s="2">
        <v>77000</v>
      </c>
      <c r="J577" s="1" t="s">
        <v>2424</v>
      </c>
      <c r="K577" s="2">
        <v>77000</v>
      </c>
      <c r="L577" s="1" t="s">
        <v>68</v>
      </c>
      <c r="M577" s="1" t="s">
        <v>69</v>
      </c>
      <c r="N577" s="1" t="s">
        <v>309</v>
      </c>
      <c r="O577" s="1" t="s">
        <v>918</v>
      </c>
      <c r="P577" s="1" t="s">
        <v>304</v>
      </c>
      <c r="Q577" s="1" t="s">
        <v>432</v>
      </c>
      <c r="R577" s="1" t="s">
        <v>309</v>
      </c>
      <c r="S577" s="1" t="s">
        <v>71</v>
      </c>
      <c r="T577" s="3" t="str">
        <f>Sheet4!H577</f>
        <v xml:space="preserve"> View Map </v>
      </c>
    </row>
    <row r="578" spans="1:20" ht="15" x14ac:dyDescent="0.25">
      <c r="A578" s="1" t="s">
        <v>2425</v>
      </c>
      <c r="B578" s="1" t="s">
        <v>2426</v>
      </c>
      <c r="C578" s="2">
        <v>1984</v>
      </c>
      <c r="D578" s="1" t="s">
        <v>24</v>
      </c>
      <c r="E578" s="2">
        <v>0</v>
      </c>
      <c r="F578" s="1" t="s">
        <v>2427</v>
      </c>
      <c r="G578" s="1"/>
      <c r="H578" s="2">
        <v>43</v>
      </c>
      <c r="I578" s="2">
        <v>22000</v>
      </c>
      <c r="J578" s="1" t="s">
        <v>2428</v>
      </c>
      <c r="K578" s="1" t="s">
        <v>28</v>
      </c>
      <c r="L578" s="1" t="s">
        <v>68</v>
      </c>
      <c r="M578" s="1" t="s">
        <v>69</v>
      </c>
      <c r="N578" s="1" t="s">
        <v>275</v>
      </c>
      <c r="O578" s="1" t="s">
        <v>407</v>
      </c>
      <c r="P578" s="1" t="s">
        <v>275</v>
      </c>
      <c r="Q578" s="1" t="s">
        <v>402</v>
      </c>
      <c r="R578" s="1" t="s">
        <v>275</v>
      </c>
      <c r="S578" s="1" t="s">
        <v>71</v>
      </c>
      <c r="T578" s="3" t="str">
        <f>Sheet4!H578</f>
        <v xml:space="preserve"> View Map </v>
      </c>
    </row>
    <row r="579" spans="1:20" ht="15" x14ac:dyDescent="0.25">
      <c r="A579" s="1" t="s">
        <v>2429</v>
      </c>
      <c r="B579" s="1" t="s">
        <v>2430</v>
      </c>
      <c r="C579" s="2">
        <v>2005</v>
      </c>
      <c r="D579" s="1" t="s">
        <v>24</v>
      </c>
      <c r="E579" s="2">
        <v>0</v>
      </c>
      <c r="F579" s="1" t="s">
        <v>2431</v>
      </c>
      <c r="G579" s="1" t="s">
        <v>2432</v>
      </c>
      <c r="H579" s="2">
        <v>0</v>
      </c>
      <c r="I579" s="2">
        <v>0</v>
      </c>
      <c r="J579" s="1" t="s">
        <v>2433</v>
      </c>
      <c r="K579" s="1" t="s">
        <v>28</v>
      </c>
      <c r="L579" s="1" t="s">
        <v>68</v>
      </c>
      <c r="M579" s="1" t="s">
        <v>69</v>
      </c>
      <c r="N579" s="1" t="s">
        <v>53</v>
      </c>
      <c r="O579" s="1" t="s">
        <v>1600</v>
      </c>
      <c r="P579" s="1" t="s">
        <v>45</v>
      </c>
      <c r="Q579" s="1" t="s">
        <v>53</v>
      </c>
      <c r="R579" s="1" t="s">
        <v>443</v>
      </c>
      <c r="S579" s="1" t="s">
        <v>71</v>
      </c>
      <c r="T579" s="3" t="str">
        <f>Sheet4!H579</f>
        <v xml:space="preserve"> View Map </v>
      </c>
    </row>
    <row r="580" spans="1:20" ht="15" x14ac:dyDescent="0.25">
      <c r="A580" s="1" t="s">
        <v>2434</v>
      </c>
      <c r="B580" s="1" t="s">
        <v>2435</v>
      </c>
      <c r="C580" s="2">
        <v>2014</v>
      </c>
      <c r="D580" s="1" t="s">
        <v>24</v>
      </c>
      <c r="E580" s="2">
        <v>0</v>
      </c>
      <c r="F580" s="1" t="s">
        <v>76</v>
      </c>
      <c r="G580" s="1"/>
      <c r="H580" s="2">
        <v>378</v>
      </c>
      <c r="I580" s="2">
        <v>55000</v>
      </c>
      <c r="J580" s="1" t="s">
        <v>2436</v>
      </c>
      <c r="K580" s="1" t="s">
        <v>28</v>
      </c>
      <c r="L580" s="1" t="s">
        <v>68</v>
      </c>
      <c r="M580" s="1" t="s">
        <v>69</v>
      </c>
      <c r="N580" s="1" t="s">
        <v>72</v>
      </c>
      <c r="O580" s="1" t="s">
        <v>78</v>
      </c>
      <c r="P580" s="1" t="s">
        <v>72</v>
      </c>
      <c r="Q580" s="1" t="s">
        <v>73</v>
      </c>
      <c r="R580" s="1" t="s">
        <v>73</v>
      </c>
      <c r="S580" s="1" t="s">
        <v>71</v>
      </c>
      <c r="T580" s="3" t="str">
        <f>Sheet4!H580</f>
        <v xml:space="preserve"> View Map </v>
      </c>
    </row>
    <row r="581" spans="1:20" ht="15" x14ac:dyDescent="0.25">
      <c r="A581" s="1" t="s">
        <v>2437</v>
      </c>
      <c r="B581" s="1" t="s">
        <v>2438</v>
      </c>
      <c r="C581" s="2">
        <v>1982</v>
      </c>
      <c r="D581" s="1" t="s">
        <v>24</v>
      </c>
      <c r="E581" s="2">
        <v>1</v>
      </c>
      <c r="F581" s="1" t="s">
        <v>2439</v>
      </c>
      <c r="G581" s="1"/>
      <c r="H581" s="2">
        <v>0</v>
      </c>
      <c r="I581" s="2">
        <v>55000</v>
      </c>
      <c r="J581" s="1" t="s">
        <v>2440</v>
      </c>
      <c r="K581" s="2">
        <v>55000</v>
      </c>
      <c r="L581" s="1" t="s">
        <v>68</v>
      </c>
      <c r="M581" s="1" t="s">
        <v>69</v>
      </c>
      <c r="N581" s="1" t="s">
        <v>275</v>
      </c>
      <c r="O581" s="1" t="s">
        <v>2441</v>
      </c>
      <c r="P581" s="1" t="s">
        <v>275</v>
      </c>
      <c r="Q581" s="1" t="s">
        <v>2132</v>
      </c>
      <c r="R581" s="1" t="s">
        <v>275</v>
      </c>
      <c r="S581" s="1" t="s">
        <v>1475</v>
      </c>
      <c r="T581" s="3" t="str">
        <f>Sheet4!H581</f>
        <v xml:space="preserve"> View Map </v>
      </c>
    </row>
    <row r="582" spans="1:20" ht="15" x14ac:dyDescent="0.25">
      <c r="A582" s="1" t="s">
        <v>2442</v>
      </c>
      <c r="B582" s="1" t="s">
        <v>2443</v>
      </c>
      <c r="C582" s="2">
        <v>2020</v>
      </c>
      <c r="D582" s="1" t="s">
        <v>24</v>
      </c>
      <c r="E582" s="2">
        <v>1</v>
      </c>
      <c r="F582" s="1" t="s">
        <v>2444</v>
      </c>
      <c r="G582" s="1"/>
      <c r="H582" s="2">
        <v>47</v>
      </c>
      <c r="I582" s="2">
        <v>9500</v>
      </c>
      <c r="J582" s="1" t="s">
        <v>2445</v>
      </c>
      <c r="K582" s="2">
        <v>9500</v>
      </c>
      <c r="L582" s="1" t="s">
        <v>68</v>
      </c>
      <c r="M582" s="1" t="s">
        <v>69</v>
      </c>
      <c r="N582" s="1" t="s">
        <v>275</v>
      </c>
      <c r="O582" s="1" t="s">
        <v>354</v>
      </c>
      <c r="P582" s="1" t="s">
        <v>275</v>
      </c>
      <c r="Q582" s="1" t="s">
        <v>348</v>
      </c>
      <c r="R582" s="1" t="s">
        <v>275</v>
      </c>
      <c r="S582" s="1" t="s">
        <v>71</v>
      </c>
      <c r="T582" s="3" t="str">
        <f>Sheet4!H582</f>
        <v xml:space="preserve"> View Map </v>
      </c>
    </row>
    <row r="583" spans="1:20" ht="15" x14ac:dyDescent="0.25">
      <c r="A583" s="1" t="s">
        <v>2446</v>
      </c>
      <c r="B583" s="1" t="s">
        <v>732</v>
      </c>
      <c r="C583" s="2">
        <v>2025</v>
      </c>
      <c r="D583" s="1" t="s">
        <v>24</v>
      </c>
      <c r="E583" s="2">
        <v>1</v>
      </c>
      <c r="F583" s="1" t="s">
        <v>2447</v>
      </c>
      <c r="G583" s="1"/>
      <c r="H583" s="2">
        <v>600</v>
      </c>
      <c r="I583" s="2">
        <v>60000</v>
      </c>
      <c r="J583" s="1" t="s">
        <v>2448</v>
      </c>
      <c r="K583" s="2">
        <v>60000</v>
      </c>
      <c r="L583" s="1" t="s">
        <v>68</v>
      </c>
      <c r="M583" s="1" t="s">
        <v>69</v>
      </c>
      <c r="N583" s="1" t="s">
        <v>322</v>
      </c>
      <c r="O583" s="1" t="s">
        <v>636</v>
      </c>
      <c r="P583" s="1" t="s">
        <v>162</v>
      </c>
      <c r="Q583" s="1" t="s">
        <v>316</v>
      </c>
      <c r="R583" s="1" t="s">
        <v>162</v>
      </c>
      <c r="S583" s="1" t="s">
        <v>71</v>
      </c>
      <c r="T583" s="3" t="str">
        <f>Sheet4!H583</f>
        <v xml:space="preserve"> View Map </v>
      </c>
    </row>
    <row r="584" spans="1:20" ht="15" x14ac:dyDescent="0.25">
      <c r="A584" s="1" t="s">
        <v>2449</v>
      </c>
      <c r="B584" s="1" t="s">
        <v>2450</v>
      </c>
      <c r="C584" s="2">
        <v>2024</v>
      </c>
      <c r="D584" s="1" t="s">
        <v>24</v>
      </c>
      <c r="E584" s="2">
        <v>1</v>
      </c>
      <c r="F584" s="1" t="s">
        <v>2451</v>
      </c>
      <c r="G584" s="1"/>
      <c r="H584" s="2">
        <v>0</v>
      </c>
      <c r="I584" s="2">
        <v>69000</v>
      </c>
      <c r="J584" s="1" t="s">
        <v>2452</v>
      </c>
      <c r="K584" s="2">
        <v>69000</v>
      </c>
      <c r="L584" s="1" t="s">
        <v>68</v>
      </c>
      <c r="M584" s="1" t="s">
        <v>69</v>
      </c>
      <c r="N584" s="1" t="s">
        <v>162</v>
      </c>
      <c r="O584" s="1" t="s">
        <v>2453</v>
      </c>
      <c r="P584" s="1" t="s">
        <v>162</v>
      </c>
      <c r="Q584" s="1" t="s">
        <v>355</v>
      </c>
      <c r="R584" s="1" t="s">
        <v>162</v>
      </c>
      <c r="S584" s="1" t="s">
        <v>71</v>
      </c>
      <c r="T584" s="3" t="str">
        <f>Sheet4!H584</f>
        <v xml:space="preserve"> View Map </v>
      </c>
    </row>
    <row r="585" spans="1:20" ht="15" x14ac:dyDescent="0.25">
      <c r="A585" s="1" t="s">
        <v>2454</v>
      </c>
      <c r="B585" s="1" t="s">
        <v>2455</v>
      </c>
      <c r="C585" s="2">
        <v>2021</v>
      </c>
      <c r="D585" s="1" t="s">
        <v>24</v>
      </c>
      <c r="E585" s="2">
        <v>1</v>
      </c>
      <c r="F585" s="1" t="s">
        <v>2456</v>
      </c>
      <c r="G585" s="1"/>
      <c r="H585" s="2">
        <v>0</v>
      </c>
      <c r="I585" s="2">
        <v>25200</v>
      </c>
      <c r="J585" s="1" t="s">
        <v>2457</v>
      </c>
      <c r="K585" s="1" t="s">
        <v>28</v>
      </c>
      <c r="L585" s="1" t="s">
        <v>68</v>
      </c>
      <c r="M585" s="1" t="s">
        <v>69</v>
      </c>
      <c r="N585" s="1" t="s">
        <v>275</v>
      </c>
      <c r="O585" s="1" t="s">
        <v>407</v>
      </c>
      <c r="P585" s="1" t="s">
        <v>275</v>
      </c>
      <c r="Q585" s="1" t="s">
        <v>402</v>
      </c>
      <c r="R585" s="1" t="s">
        <v>275</v>
      </c>
      <c r="S585" s="1" t="s">
        <v>71</v>
      </c>
      <c r="T585" s="3" t="str">
        <f>Sheet4!H585</f>
        <v xml:space="preserve"> View Map </v>
      </c>
    </row>
    <row r="586" spans="1:20" ht="15" x14ac:dyDescent="0.25">
      <c r="A586" s="1" t="s">
        <v>2458</v>
      </c>
      <c r="B586" s="1" t="s">
        <v>2459</v>
      </c>
      <c r="C586" s="2">
        <v>2024</v>
      </c>
      <c r="D586" s="1" t="s">
        <v>24</v>
      </c>
      <c r="E586" s="2">
        <v>1</v>
      </c>
      <c r="F586" s="1" t="s">
        <v>2460</v>
      </c>
      <c r="G586" s="1"/>
      <c r="H586" s="2">
        <v>0</v>
      </c>
      <c r="I586" s="2">
        <v>32500</v>
      </c>
      <c r="J586" s="1" t="s">
        <v>2461</v>
      </c>
      <c r="K586" s="2">
        <v>32500</v>
      </c>
      <c r="L586" s="1" t="s">
        <v>68</v>
      </c>
      <c r="M586" s="1" t="s">
        <v>69</v>
      </c>
      <c r="N586" s="1" t="s">
        <v>275</v>
      </c>
      <c r="O586" s="1" t="s">
        <v>354</v>
      </c>
      <c r="P586" s="1" t="s">
        <v>275</v>
      </c>
      <c r="Q586" s="1" t="s">
        <v>348</v>
      </c>
      <c r="R586" s="1" t="s">
        <v>275</v>
      </c>
      <c r="S586" s="1" t="s">
        <v>71</v>
      </c>
      <c r="T586" s="3" t="str">
        <f>Sheet4!H586</f>
        <v xml:space="preserve"> View Map </v>
      </c>
    </row>
    <row r="587" spans="1:20" ht="15" x14ac:dyDescent="0.25">
      <c r="A587" s="1" t="s">
        <v>2462</v>
      </c>
      <c r="B587" s="1" t="s">
        <v>2463</v>
      </c>
      <c r="C587" s="2">
        <v>1983</v>
      </c>
      <c r="D587" s="1" t="s">
        <v>24</v>
      </c>
      <c r="E587" s="2">
        <v>1</v>
      </c>
      <c r="F587" s="1" t="s">
        <v>2464</v>
      </c>
      <c r="G587" s="1" t="s">
        <v>2464</v>
      </c>
      <c r="H587" s="2">
        <v>1500</v>
      </c>
      <c r="I587" s="2">
        <v>31770</v>
      </c>
      <c r="J587" s="1" t="s">
        <v>2465</v>
      </c>
      <c r="K587" s="2">
        <v>31770</v>
      </c>
      <c r="L587" s="1" t="s">
        <v>68</v>
      </c>
      <c r="M587" s="1" t="s">
        <v>69</v>
      </c>
      <c r="N587" s="1" t="s">
        <v>72</v>
      </c>
      <c r="O587" s="1" t="s">
        <v>78</v>
      </c>
      <c r="P587" s="1" t="s">
        <v>72</v>
      </c>
      <c r="Q587" s="1" t="s">
        <v>73</v>
      </c>
      <c r="R587" s="1" t="s">
        <v>73</v>
      </c>
      <c r="S587" s="1" t="s">
        <v>71</v>
      </c>
      <c r="T587" s="3" t="str">
        <f>Sheet4!H587</f>
        <v xml:space="preserve"> View Map </v>
      </c>
    </row>
    <row r="588" spans="1:20" ht="15" x14ac:dyDescent="0.25">
      <c r="A588" s="1" t="s">
        <v>2466</v>
      </c>
      <c r="B588" s="1" t="s">
        <v>2467</v>
      </c>
      <c r="C588" s="2">
        <v>2005</v>
      </c>
      <c r="D588" s="1" t="s">
        <v>24</v>
      </c>
      <c r="E588" s="2">
        <v>0</v>
      </c>
      <c r="F588" s="1" t="s">
        <v>2468</v>
      </c>
      <c r="G588" s="1"/>
      <c r="H588" s="2">
        <v>0</v>
      </c>
      <c r="I588" s="2">
        <v>37000</v>
      </c>
      <c r="J588" s="1" t="s">
        <v>2469</v>
      </c>
      <c r="K588" s="1" t="s">
        <v>28</v>
      </c>
      <c r="L588" s="1" t="s">
        <v>68</v>
      </c>
      <c r="M588" s="1" t="s">
        <v>69</v>
      </c>
      <c r="N588" s="1" t="s">
        <v>275</v>
      </c>
      <c r="O588" s="1" t="s">
        <v>1077</v>
      </c>
      <c r="P588" s="1" t="s">
        <v>304</v>
      </c>
      <c r="Q588" s="1" t="s">
        <v>386</v>
      </c>
      <c r="R588" s="1" t="s">
        <v>275</v>
      </c>
      <c r="S588" s="1" t="s">
        <v>71</v>
      </c>
      <c r="T588" s="3" t="str">
        <f>Sheet4!H588</f>
        <v xml:space="preserve"> View Map </v>
      </c>
    </row>
    <row r="589" spans="1:20" ht="15" x14ac:dyDescent="0.25">
      <c r="A589" s="1" t="s">
        <v>2470</v>
      </c>
      <c r="B589" s="1" t="s">
        <v>2471</v>
      </c>
      <c r="C589" s="2">
        <v>2024</v>
      </c>
      <c r="D589" s="1" t="s">
        <v>24</v>
      </c>
      <c r="E589" s="2">
        <v>1</v>
      </c>
      <c r="F589" s="1" t="s">
        <v>2472</v>
      </c>
      <c r="G589" s="1"/>
      <c r="H589" s="2">
        <v>0</v>
      </c>
      <c r="I589" s="2">
        <v>52500</v>
      </c>
      <c r="J589" s="1" t="s">
        <v>2473</v>
      </c>
      <c r="K589" s="2">
        <v>52500</v>
      </c>
      <c r="L589" s="1" t="s">
        <v>68</v>
      </c>
      <c r="M589" s="1" t="s">
        <v>69</v>
      </c>
      <c r="N589" s="1" t="s">
        <v>72</v>
      </c>
      <c r="O589" s="1" t="s">
        <v>598</v>
      </c>
      <c r="P589" s="1" t="s">
        <v>72</v>
      </c>
      <c r="Q589" s="1" t="s">
        <v>593</v>
      </c>
      <c r="R589" s="1" t="s">
        <v>72</v>
      </c>
      <c r="S589" s="1" t="s">
        <v>71</v>
      </c>
      <c r="T589" s="3" t="str">
        <f>Sheet4!H589</f>
        <v xml:space="preserve"> View Map </v>
      </c>
    </row>
    <row r="590" spans="1:20" ht="15" x14ac:dyDescent="0.25">
      <c r="A590" s="1" t="s">
        <v>2474</v>
      </c>
      <c r="B590" s="1" t="s">
        <v>2475</v>
      </c>
      <c r="C590" s="2">
        <v>2020</v>
      </c>
      <c r="D590" s="1" t="s">
        <v>24</v>
      </c>
      <c r="E590" s="2">
        <v>0</v>
      </c>
      <c r="F590" s="1" t="s">
        <v>2476</v>
      </c>
      <c r="G590" s="1"/>
      <c r="H590" s="2">
        <v>0</v>
      </c>
      <c r="I590" s="2">
        <v>23750</v>
      </c>
      <c r="J590" s="1" t="s">
        <v>2477</v>
      </c>
      <c r="K590" s="2">
        <v>23750</v>
      </c>
      <c r="L590" s="1" t="s">
        <v>68</v>
      </c>
      <c r="M590" s="1" t="s">
        <v>69</v>
      </c>
      <c r="N590" s="1" t="s">
        <v>275</v>
      </c>
      <c r="O590" s="1" t="s">
        <v>297</v>
      </c>
      <c r="P590" s="1" t="s">
        <v>275</v>
      </c>
      <c r="Q590" s="1" t="s">
        <v>276</v>
      </c>
      <c r="R590" s="1" t="s">
        <v>275</v>
      </c>
      <c r="S590" s="1" t="s">
        <v>71</v>
      </c>
      <c r="T590" s="3" t="str">
        <f>Sheet4!H590</f>
        <v xml:space="preserve"> View Map </v>
      </c>
    </row>
    <row r="591" spans="1:20" ht="15" x14ac:dyDescent="0.25">
      <c r="A591" s="1" t="s">
        <v>2478</v>
      </c>
      <c r="B591" s="1" t="s">
        <v>2479</v>
      </c>
      <c r="C591" s="2">
        <v>2016</v>
      </c>
      <c r="D591" s="1" t="s">
        <v>24</v>
      </c>
      <c r="E591" s="2">
        <v>0</v>
      </c>
      <c r="F591" s="1" t="s">
        <v>2480</v>
      </c>
      <c r="G591" s="1"/>
      <c r="H591" s="2">
        <v>236</v>
      </c>
      <c r="I591" s="2">
        <v>28750</v>
      </c>
      <c r="J591" s="1" t="s">
        <v>2481</v>
      </c>
      <c r="K591" s="1" t="s">
        <v>28</v>
      </c>
      <c r="L591" s="1" t="s">
        <v>68</v>
      </c>
      <c r="M591" s="1" t="s">
        <v>69</v>
      </c>
      <c r="N591" s="1" t="s">
        <v>72</v>
      </c>
      <c r="O591" s="1" t="s">
        <v>115</v>
      </c>
      <c r="P591" s="1" t="s">
        <v>72</v>
      </c>
      <c r="Q591" s="1" t="s">
        <v>639</v>
      </c>
      <c r="R591" s="1" t="s">
        <v>73</v>
      </c>
      <c r="S591" s="1" t="s">
        <v>71</v>
      </c>
      <c r="T591" s="3" t="str">
        <f>Sheet4!H591</f>
        <v xml:space="preserve"> View Map </v>
      </c>
    </row>
    <row r="592" spans="1:20" ht="15" x14ac:dyDescent="0.25">
      <c r="A592" s="1" t="s">
        <v>2482</v>
      </c>
      <c r="B592" s="1" t="s">
        <v>2483</v>
      </c>
      <c r="C592" s="2">
        <v>1987</v>
      </c>
      <c r="D592" s="1" t="s">
        <v>24</v>
      </c>
      <c r="E592" s="2">
        <v>0</v>
      </c>
      <c r="F592" s="1" t="s">
        <v>2145</v>
      </c>
      <c r="G592" s="1"/>
      <c r="H592" s="2">
        <v>800</v>
      </c>
      <c r="I592" s="2">
        <v>76000</v>
      </c>
      <c r="J592" s="1" t="s">
        <v>2484</v>
      </c>
      <c r="K592" s="1" t="s">
        <v>28</v>
      </c>
      <c r="L592" s="1" t="s">
        <v>68</v>
      </c>
      <c r="M592" s="1" t="s">
        <v>69</v>
      </c>
      <c r="N592" s="1" t="s">
        <v>162</v>
      </c>
      <c r="O592" s="1" t="s">
        <v>770</v>
      </c>
      <c r="P592" s="1" t="s">
        <v>162</v>
      </c>
      <c r="Q592" s="1" t="s">
        <v>506</v>
      </c>
      <c r="R592" s="1" t="s">
        <v>162</v>
      </c>
      <c r="S592" s="1" t="s">
        <v>71</v>
      </c>
      <c r="T592" s="3" t="str">
        <f>Sheet4!H592</f>
        <v xml:space="preserve"> View Map </v>
      </c>
    </row>
    <row r="593" spans="1:20" ht="15" x14ac:dyDescent="0.25">
      <c r="A593" s="1" t="s">
        <v>2485</v>
      </c>
      <c r="B593" s="1" t="s">
        <v>2486</v>
      </c>
      <c r="C593" s="2">
        <v>2005</v>
      </c>
      <c r="D593" s="1" t="s">
        <v>24</v>
      </c>
      <c r="E593" s="2">
        <v>0</v>
      </c>
      <c r="F593" s="1"/>
      <c r="G593" s="1"/>
      <c r="H593" s="2">
        <v>0</v>
      </c>
      <c r="I593" s="2">
        <v>0</v>
      </c>
      <c r="J593" s="1" t="s">
        <v>2487</v>
      </c>
      <c r="K593" s="1" t="s">
        <v>28</v>
      </c>
      <c r="L593" s="1" t="s">
        <v>68</v>
      </c>
      <c r="M593" s="1" t="s">
        <v>69</v>
      </c>
      <c r="N593" s="1" t="s">
        <v>162</v>
      </c>
      <c r="O593" s="1" t="s">
        <v>28</v>
      </c>
      <c r="P593" s="1" t="s">
        <v>162</v>
      </c>
      <c r="Q593" s="1" t="s">
        <v>311</v>
      </c>
      <c r="R593" s="1" t="s">
        <v>162</v>
      </c>
      <c r="S593" s="1" t="s">
        <v>71</v>
      </c>
      <c r="T593" s="3" t="str">
        <f>Sheet4!H593</f>
        <v xml:space="preserve"> View Map </v>
      </c>
    </row>
    <row r="594" spans="1:20" ht="15" x14ac:dyDescent="0.25">
      <c r="A594" s="1" t="s">
        <v>2488</v>
      </c>
      <c r="B594" s="1" t="s">
        <v>2489</v>
      </c>
      <c r="C594" s="2">
        <v>2024</v>
      </c>
      <c r="D594" s="1" t="s">
        <v>24</v>
      </c>
      <c r="E594" s="2">
        <v>1</v>
      </c>
      <c r="F594" s="1" t="s">
        <v>2490</v>
      </c>
      <c r="G594" s="1"/>
      <c r="H594" s="2">
        <v>0</v>
      </c>
      <c r="I594" s="2">
        <v>30000</v>
      </c>
      <c r="J594" s="1" t="s">
        <v>2491</v>
      </c>
      <c r="K594" s="1" t="s">
        <v>28</v>
      </c>
      <c r="L594" s="1" t="s">
        <v>68</v>
      </c>
      <c r="M594" s="1" t="s">
        <v>69</v>
      </c>
      <c r="N594" s="1" t="s">
        <v>275</v>
      </c>
      <c r="O594" s="1" t="s">
        <v>391</v>
      </c>
      <c r="P594" s="1" t="s">
        <v>304</v>
      </c>
      <c r="Q594" s="1" t="s">
        <v>386</v>
      </c>
      <c r="R594" s="1" t="s">
        <v>275</v>
      </c>
      <c r="S594" s="1" t="s">
        <v>71</v>
      </c>
      <c r="T594" s="3" t="str">
        <f>Sheet4!H594</f>
        <v xml:space="preserve"> View Map </v>
      </c>
    </row>
    <row r="595" spans="1:20" ht="15" x14ac:dyDescent="0.25">
      <c r="A595" s="1" t="s">
        <v>2492</v>
      </c>
      <c r="B595" s="1" t="s">
        <v>2493</v>
      </c>
      <c r="C595" s="2">
        <v>2024</v>
      </c>
      <c r="D595" s="1" t="s">
        <v>24</v>
      </c>
      <c r="E595" s="2">
        <v>1</v>
      </c>
      <c r="F595" s="1" t="s">
        <v>2494</v>
      </c>
      <c r="G595" s="1"/>
      <c r="H595" s="2">
        <v>0</v>
      </c>
      <c r="I595" s="2">
        <v>25500</v>
      </c>
      <c r="J595" s="1" t="s">
        <v>2495</v>
      </c>
      <c r="K595" s="2">
        <v>25500</v>
      </c>
      <c r="L595" s="1" t="s">
        <v>68</v>
      </c>
      <c r="M595" s="1" t="s">
        <v>69</v>
      </c>
      <c r="N595" s="1" t="s">
        <v>275</v>
      </c>
      <c r="O595" s="1" t="s">
        <v>297</v>
      </c>
      <c r="P595" s="1" t="s">
        <v>275</v>
      </c>
      <c r="Q595" s="1" t="s">
        <v>276</v>
      </c>
      <c r="R595" s="1" t="s">
        <v>275</v>
      </c>
      <c r="S595" s="1" t="s">
        <v>71</v>
      </c>
      <c r="T595" s="3" t="str">
        <f>Sheet4!H595</f>
        <v xml:space="preserve"> View Map </v>
      </c>
    </row>
    <row r="596" spans="1:20" ht="15" x14ac:dyDescent="0.25">
      <c r="A596" s="1" t="s">
        <v>2496</v>
      </c>
      <c r="B596" s="1" t="s">
        <v>2497</v>
      </c>
      <c r="C596" s="2">
        <v>2025</v>
      </c>
      <c r="D596" s="1" t="s">
        <v>24</v>
      </c>
      <c r="E596" s="2">
        <v>1</v>
      </c>
      <c r="F596" s="1" t="s">
        <v>2498</v>
      </c>
      <c r="G596" s="1" t="s">
        <v>2498</v>
      </c>
      <c r="H596" s="2">
        <v>53</v>
      </c>
      <c r="I596" s="2">
        <v>100000</v>
      </c>
      <c r="J596" s="1" t="s">
        <v>2499</v>
      </c>
      <c r="K596" s="2">
        <v>63000</v>
      </c>
      <c r="L596" s="1" t="s">
        <v>68</v>
      </c>
      <c r="M596" s="1" t="s">
        <v>69</v>
      </c>
      <c r="N596" s="1" t="s">
        <v>72</v>
      </c>
      <c r="O596" s="1" t="s">
        <v>2038</v>
      </c>
      <c r="P596" s="1" t="s">
        <v>72</v>
      </c>
      <c r="Q596" s="1" t="s">
        <v>593</v>
      </c>
      <c r="R596" s="1" t="s">
        <v>72</v>
      </c>
      <c r="S596" s="1" t="s">
        <v>71</v>
      </c>
      <c r="T596" s="3" t="str">
        <f>Sheet4!H596</f>
        <v xml:space="preserve"> View Map </v>
      </c>
    </row>
    <row r="597" spans="1:20" ht="15" x14ac:dyDescent="0.25">
      <c r="A597" s="1" t="s">
        <v>2500</v>
      </c>
      <c r="B597" s="1" t="s">
        <v>2501</v>
      </c>
      <c r="C597" s="2">
        <v>2024</v>
      </c>
      <c r="D597" s="1" t="s">
        <v>24</v>
      </c>
      <c r="E597" s="2">
        <v>1</v>
      </c>
      <c r="F597" s="1" t="s">
        <v>2502</v>
      </c>
      <c r="G597" s="1"/>
      <c r="H597" s="2">
        <v>0</v>
      </c>
      <c r="I597" s="2">
        <v>95000</v>
      </c>
      <c r="J597" s="1" t="s">
        <v>2503</v>
      </c>
      <c r="K597" s="2">
        <v>95000</v>
      </c>
      <c r="L597" s="1" t="s">
        <v>68</v>
      </c>
      <c r="M597" s="1" t="s">
        <v>69</v>
      </c>
      <c r="N597" s="1" t="s">
        <v>275</v>
      </c>
      <c r="O597" s="1" t="s">
        <v>2137</v>
      </c>
      <c r="P597" s="1" t="s">
        <v>275</v>
      </c>
      <c r="Q597" s="1" t="s">
        <v>2132</v>
      </c>
      <c r="R597" s="1" t="s">
        <v>275</v>
      </c>
      <c r="S597" s="1" t="s">
        <v>1475</v>
      </c>
      <c r="T597" s="3" t="str">
        <f>Sheet4!H597</f>
        <v xml:space="preserve"> View Map </v>
      </c>
    </row>
    <row r="598" spans="1:20" ht="15" x14ac:dyDescent="0.25">
      <c r="A598" s="1" t="s">
        <v>2504</v>
      </c>
      <c r="B598" s="1" t="s">
        <v>2505</v>
      </c>
      <c r="C598" s="2">
        <v>1983</v>
      </c>
      <c r="D598" s="1" t="s">
        <v>24</v>
      </c>
      <c r="E598" s="2">
        <v>1</v>
      </c>
      <c r="F598" s="1" t="s">
        <v>2506</v>
      </c>
      <c r="G598" s="1"/>
      <c r="H598" s="2">
        <v>0</v>
      </c>
      <c r="I598" s="2">
        <v>40000</v>
      </c>
      <c r="J598" s="1" t="s">
        <v>2507</v>
      </c>
      <c r="K598" s="2">
        <v>40000</v>
      </c>
      <c r="L598" s="1" t="s">
        <v>68</v>
      </c>
      <c r="M598" s="1" t="s">
        <v>69</v>
      </c>
      <c r="N598" s="1" t="s">
        <v>72</v>
      </c>
      <c r="O598" s="1" t="s">
        <v>598</v>
      </c>
      <c r="P598" s="1" t="s">
        <v>72</v>
      </c>
      <c r="Q598" s="1" t="s">
        <v>593</v>
      </c>
      <c r="R598" s="1" t="s">
        <v>72</v>
      </c>
      <c r="S598" s="1" t="s">
        <v>71</v>
      </c>
      <c r="T598" s="3" t="str">
        <f>Sheet4!H598</f>
        <v xml:space="preserve"> View Map </v>
      </c>
    </row>
    <row r="599" spans="1:20" ht="15" x14ac:dyDescent="0.25">
      <c r="A599" s="1" t="s">
        <v>2508</v>
      </c>
      <c r="B599" s="1" t="s">
        <v>2509</v>
      </c>
      <c r="C599" s="2">
        <v>2005</v>
      </c>
      <c r="D599" s="1" t="s">
        <v>24</v>
      </c>
      <c r="E599" s="2">
        <v>1</v>
      </c>
      <c r="F599" s="1" t="s">
        <v>2510</v>
      </c>
      <c r="G599" s="1"/>
      <c r="H599" s="2">
        <v>0</v>
      </c>
      <c r="I599" s="2">
        <v>55000</v>
      </c>
      <c r="J599" s="1" t="s">
        <v>2511</v>
      </c>
      <c r="K599" s="2">
        <v>54750</v>
      </c>
      <c r="L599" s="1" t="s">
        <v>68</v>
      </c>
      <c r="M599" s="1" t="s">
        <v>69</v>
      </c>
      <c r="N599" s="1" t="s">
        <v>275</v>
      </c>
      <c r="O599" s="1" t="s">
        <v>407</v>
      </c>
      <c r="P599" s="1" t="s">
        <v>275</v>
      </c>
      <c r="Q599" s="1" t="s">
        <v>402</v>
      </c>
      <c r="R599" s="1" t="s">
        <v>275</v>
      </c>
      <c r="S599" s="1" t="s">
        <v>1475</v>
      </c>
      <c r="T599" s="3" t="str">
        <f>Sheet4!H599</f>
        <v xml:space="preserve"> View Map </v>
      </c>
    </row>
    <row r="600" spans="1:20" ht="15" x14ac:dyDescent="0.25">
      <c r="A600" s="1" t="s">
        <v>2512</v>
      </c>
      <c r="B600" s="1" t="s">
        <v>2513</v>
      </c>
      <c r="C600" s="2">
        <v>2005</v>
      </c>
      <c r="D600" s="1" t="s">
        <v>24</v>
      </c>
      <c r="E600" s="2">
        <v>1</v>
      </c>
      <c r="F600" s="1" t="s">
        <v>2514</v>
      </c>
      <c r="G600" s="1"/>
      <c r="H600" s="2">
        <v>300</v>
      </c>
      <c r="I600" s="2">
        <v>75000</v>
      </c>
      <c r="J600" s="1" t="s">
        <v>2515</v>
      </c>
      <c r="K600" s="2">
        <v>75000</v>
      </c>
      <c r="L600" s="1" t="s">
        <v>68</v>
      </c>
      <c r="M600" s="1" t="s">
        <v>69</v>
      </c>
      <c r="N600" s="1" t="s">
        <v>275</v>
      </c>
      <c r="O600" s="1" t="s">
        <v>2137</v>
      </c>
      <c r="P600" s="1" t="s">
        <v>275</v>
      </c>
      <c r="Q600" s="1" t="s">
        <v>2132</v>
      </c>
      <c r="R600" s="1" t="s">
        <v>275</v>
      </c>
      <c r="S600" s="1" t="s">
        <v>1475</v>
      </c>
      <c r="T600" s="3" t="str">
        <f>Sheet4!H600</f>
        <v xml:space="preserve"> View Map </v>
      </c>
    </row>
    <row r="601" spans="1:20" ht="15" x14ac:dyDescent="0.25">
      <c r="A601" s="1" t="s">
        <v>2516</v>
      </c>
      <c r="B601" s="1" t="s">
        <v>2517</v>
      </c>
      <c r="C601" s="2">
        <v>2020</v>
      </c>
      <c r="D601" s="1" t="s">
        <v>24</v>
      </c>
      <c r="E601" s="2">
        <v>1</v>
      </c>
      <c r="F601" s="1" t="s">
        <v>2518</v>
      </c>
      <c r="G601" s="1"/>
      <c r="H601" s="2">
        <v>0</v>
      </c>
      <c r="I601" s="2">
        <v>30000</v>
      </c>
      <c r="J601" s="1" t="s">
        <v>2519</v>
      </c>
      <c r="K601" s="2">
        <v>30000</v>
      </c>
      <c r="L601" s="1" t="s">
        <v>68</v>
      </c>
      <c r="M601" s="1" t="s">
        <v>69</v>
      </c>
      <c r="N601" s="1" t="s">
        <v>275</v>
      </c>
      <c r="O601" s="1" t="s">
        <v>1077</v>
      </c>
      <c r="P601" s="1" t="s">
        <v>304</v>
      </c>
      <c r="Q601" s="1" t="s">
        <v>386</v>
      </c>
      <c r="R601" s="1" t="s">
        <v>275</v>
      </c>
      <c r="S601" s="1" t="s">
        <v>71</v>
      </c>
      <c r="T601" s="3" t="str">
        <f>Sheet4!H601</f>
        <v xml:space="preserve"> View Map </v>
      </c>
    </row>
    <row r="602" spans="1:20" ht="15" x14ac:dyDescent="0.25">
      <c r="A602" s="1" t="s">
        <v>2520</v>
      </c>
      <c r="B602" s="1" t="s">
        <v>2521</v>
      </c>
      <c r="C602" s="2">
        <v>2005</v>
      </c>
      <c r="D602" s="1" t="s">
        <v>24</v>
      </c>
      <c r="E602" s="2">
        <v>0</v>
      </c>
      <c r="F602" s="1"/>
      <c r="G602" s="1"/>
      <c r="H602" s="2">
        <v>0</v>
      </c>
      <c r="I602" s="2">
        <v>0</v>
      </c>
      <c r="J602" s="1"/>
      <c r="K602" s="1" t="s">
        <v>28</v>
      </c>
      <c r="L602" s="1" t="s">
        <v>68</v>
      </c>
      <c r="M602" s="1" t="s">
        <v>69</v>
      </c>
      <c r="N602" s="1" t="s">
        <v>275</v>
      </c>
      <c r="O602" s="1" t="s">
        <v>28</v>
      </c>
      <c r="P602" s="1" t="s">
        <v>275</v>
      </c>
      <c r="Q602" s="1" t="s">
        <v>28</v>
      </c>
      <c r="R602" s="1" t="s">
        <v>275</v>
      </c>
      <c r="S602" s="1" t="s">
        <v>71</v>
      </c>
      <c r="T602" s="3" t="str">
        <f>Sheet4!H602</f>
        <v xml:space="preserve"> View Map </v>
      </c>
    </row>
    <row r="603" spans="1:20" ht="15" x14ac:dyDescent="0.25">
      <c r="A603" s="1" t="s">
        <v>2522</v>
      </c>
      <c r="B603" s="1" t="s">
        <v>2523</v>
      </c>
      <c r="C603" s="2">
        <v>2005</v>
      </c>
      <c r="D603" s="1" t="s">
        <v>24</v>
      </c>
      <c r="E603" s="2">
        <v>0</v>
      </c>
      <c r="F603" s="1" t="s">
        <v>2524</v>
      </c>
      <c r="G603" s="1"/>
      <c r="H603" s="2">
        <v>0</v>
      </c>
      <c r="I603" s="2">
        <v>0</v>
      </c>
      <c r="J603" s="1" t="s">
        <v>2525</v>
      </c>
      <c r="K603" s="1" t="s">
        <v>28</v>
      </c>
      <c r="L603" s="1" t="s">
        <v>68</v>
      </c>
      <c r="M603" s="1" t="s">
        <v>69</v>
      </c>
      <c r="N603" s="1" t="s">
        <v>275</v>
      </c>
      <c r="O603" s="1" t="s">
        <v>2526</v>
      </c>
      <c r="P603" s="1" t="s">
        <v>275</v>
      </c>
      <c r="Q603" s="1" t="s">
        <v>2132</v>
      </c>
      <c r="R603" s="1" t="s">
        <v>275</v>
      </c>
      <c r="S603" s="1" t="s">
        <v>71</v>
      </c>
      <c r="T603" s="3" t="str">
        <f>Sheet4!H603</f>
        <v xml:space="preserve"> View Map </v>
      </c>
    </row>
    <row r="604" spans="1:20" ht="15" x14ac:dyDescent="0.25">
      <c r="A604" s="1" t="s">
        <v>2527</v>
      </c>
      <c r="B604" s="1" t="s">
        <v>2528</v>
      </c>
      <c r="C604" s="2">
        <v>2022</v>
      </c>
      <c r="D604" s="1" t="s">
        <v>24</v>
      </c>
      <c r="E604" s="2">
        <v>1</v>
      </c>
      <c r="F604" s="1" t="s">
        <v>398</v>
      </c>
      <c r="G604" s="1"/>
      <c r="H604" s="2">
        <v>0</v>
      </c>
      <c r="I604" s="2">
        <v>50500</v>
      </c>
      <c r="J604" s="1" t="s">
        <v>2529</v>
      </c>
      <c r="K604" s="2">
        <v>50500</v>
      </c>
      <c r="L604" s="1" t="s">
        <v>68</v>
      </c>
      <c r="M604" s="1" t="s">
        <v>69</v>
      </c>
      <c r="N604" s="1" t="s">
        <v>72</v>
      </c>
      <c r="O604" s="1" t="s">
        <v>78</v>
      </c>
      <c r="P604" s="1" t="s">
        <v>72</v>
      </c>
      <c r="Q604" s="1" t="s">
        <v>73</v>
      </c>
      <c r="R604" s="1" t="s">
        <v>73</v>
      </c>
      <c r="S604" s="1" t="s">
        <v>71</v>
      </c>
      <c r="T604" s="3" t="str">
        <f>Sheet4!H604</f>
        <v xml:space="preserve"> View Map </v>
      </c>
    </row>
    <row r="605" spans="1:20" ht="15" x14ac:dyDescent="0.25">
      <c r="A605" s="1" t="s">
        <v>2530</v>
      </c>
      <c r="B605" s="1" t="s">
        <v>354</v>
      </c>
      <c r="C605" s="2">
        <v>2024</v>
      </c>
      <c r="D605" s="1" t="s">
        <v>24</v>
      </c>
      <c r="E605" s="2">
        <v>1</v>
      </c>
      <c r="F605" s="1" t="s">
        <v>354</v>
      </c>
      <c r="G605" s="1"/>
      <c r="H605" s="2">
        <v>0</v>
      </c>
      <c r="I605" s="2">
        <v>38000</v>
      </c>
      <c r="J605" s="1" t="s">
        <v>2531</v>
      </c>
      <c r="K605" s="2">
        <v>38000</v>
      </c>
      <c r="L605" s="1" t="s">
        <v>68</v>
      </c>
      <c r="M605" s="1" t="s">
        <v>69</v>
      </c>
      <c r="N605" s="1" t="s">
        <v>275</v>
      </c>
      <c r="O605" s="1" t="s">
        <v>354</v>
      </c>
      <c r="P605" s="1" t="s">
        <v>275</v>
      </c>
      <c r="Q605" s="1" t="s">
        <v>348</v>
      </c>
      <c r="R605" s="1" t="s">
        <v>275</v>
      </c>
      <c r="S605" s="1" t="s">
        <v>71</v>
      </c>
      <c r="T605" s="3" t="str">
        <f>Sheet4!H605</f>
        <v xml:space="preserve"> View Map </v>
      </c>
    </row>
    <row r="606" spans="1:20" ht="15" x14ac:dyDescent="0.25">
      <c r="A606" s="1" t="s">
        <v>2532</v>
      </c>
      <c r="B606" s="1" t="s">
        <v>2533</v>
      </c>
      <c r="C606" s="2">
        <v>1985</v>
      </c>
      <c r="D606" s="1" t="s">
        <v>24</v>
      </c>
      <c r="E606" s="2">
        <v>1</v>
      </c>
      <c r="F606" s="1" t="s">
        <v>2050</v>
      </c>
      <c r="G606" s="1"/>
      <c r="H606" s="2">
        <v>128</v>
      </c>
      <c r="I606" s="2">
        <v>75000</v>
      </c>
      <c r="J606" s="1" t="s">
        <v>2534</v>
      </c>
      <c r="K606" s="2">
        <v>75000</v>
      </c>
      <c r="L606" s="1" t="s">
        <v>68</v>
      </c>
      <c r="M606" s="1" t="s">
        <v>69</v>
      </c>
      <c r="N606" s="1" t="s">
        <v>72</v>
      </c>
      <c r="O606" s="1" t="s">
        <v>78</v>
      </c>
      <c r="P606" s="1" t="s">
        <v>72</v>
      </c>
      <c r="Q606" s="1" t="s">
        <v>2047</v>
      </c>
      <c r="R606" s="1" t="s">
        <v>72</v>
      </c>
      <c r="S606" s="1" t="s">
        <v>71</v>
      </c>
      <c r="T606" s="3" t="str">
        <f>Sheet4!H606</f>
        <v xml:space="preserve"> View Map </v>
      </c>
    </row>
    <row r="607" spans="1:20" ht="15" x14ac:dyDescent="0.25">
      <c r="A607" s="1" t="s">
        <v>2535</v>
      </c>
      <c r="B607" s="1" t="s">
        <v>2536</v>
      </c>
      <c r="C607" s="2">
        <v>2024</v>
      </c>
      <c r="D607" s="1" t="s">
        <v>24</v>
      </c>
      <c r="E607" s="2">
        <v>1</v>
      </c>
      <c r="F607" s="1" t="s">
        <v>2537</v>
      </c>
      <c r="G607" s="1"/>
      <c r="H607" s="2">
        <v>0</v>
      </c>
      <c r="I607" s="2">
        <v>35000</v>
      </c>
      <c r="J607" s="1" t="s">
        <v>2538</v>
      </c>
      <c r="K607" s="2">
        <v>35000</v>
      </c>
      <c r="L607" s="1" t="s">
        <v>68</v>
      </c>
      <c r="M607" s="1" t="s">
        <v>69</v>
      </c>
      <c r="N607" s="1" t="s">
        <v>72</v>
      </c>
      <c r="O607" s="1" t="s">
        <v>115</v>
      </c>
      <c r="P607" s="1" t="s">
        <v>72</v>
      </c>
      <c r="Q607" s="1" t="s">
        <v>639</v>
      </c>
      <c r="R607" s="1" t="s">
        <v>645</v>
      </c>
      <c r="S607" s="1" t="s">
        <v>71</v>
      </c>
      <c r="T607" s="3" t="str">
        <f>Sheet4!H607</f>
        <v xml:space="preserve"> View Map </v>
      </c>
    </row>
    <row r="608" spans="1:20" ht="15" x14ac:dyDescent="0.25">
      <c r="A608" s="1" t="s">
        <v>2539</v>
      </c>
      <c r="B608" s="1" t="s">
        <v>2540</v>
      </c>
      <c r="C608" s="2">
        <v>2024</v>
      </c>
      <c r="D608" s="1" t="s">
        <v>24</v>
      </c>
      <c r="E608" s="2">
        <v>1</v>
      </c>
      <c r="F608" s="1" t="s">
        <v>2541</v>
      </c>
      <c r="G608" s="1"/>
      <c r="H608" s="2">
        <v>0</v>
      </c>
      <c r="I608" s="2">
        <v>50900</v>
      </c>
      <c r="J608" s="1" t="s">
        <v>2542</v>
      </c>
      <c r="K608" s="2">
        <v>50900</v>
      </c>
      <c r="L608" s="1" t="s">
        <v>68</v>
      </c>
      <c r="M608" s="1" t="s">
        <v>69</v>
      </c>
      <c r="N608" s="1" t="s">
        <v>275</v>
      </c>
      <c r="O608" s="1" t="s">
        <v>2441</v>
      </c>
      <c r="P608" s="1" t="s">
        <v>275</v>
      </c>
      <c r="Q608" s="1" t="s">
        <v>2132</v>
      </c>
      <c r="R608" s="1" t="s">
        <v>275</v>
      </c>
      <c r="S608" s="1" t="s">
        <v>71</v>
      </c>
      <c r="T608" s="3" t="str">
        <f>Sheet4!H608</f>
        <v xml:space="preserve"> View Map </v>
      </c>
    </row>
    <row r="609" spans="1:20" ht="15" x14ac:dyDescent="0.25">
      <c r="A609" s="1" t="s">
        <v>2543</v>
      </c>
      <c r="B609" s="1" t="s">
        <v>2544</v>
      </c>
      <c r="C609" s="2">
        <v>2014</v>
      </c>
      <c r="D609" s="1" t="s">
        <v>24</v>
      </c>
      <c r="E609" s="2">
        <v>1</v>
      </c>
      <c r="F609" s="1" t="s">
        <v>2545</v>
      </c>
      <c r="G609" s="1"/>
      <c r="H609" s="2">
        <v>0</v>
      </c>
      <c r="I609" s="2">
        <v>175000</v>
      </c>
      <c r="J609" s="1" t="s">
        <v>2546</v>
      </c>
      <c r="K609" s="2">
        <v>175000</v>
      </c>
      <c r="L609" s="1" t="s">
        <v>68</v>
      </c>
      <c r="M609" s="1" t="s">
        <v>69</v>
      </c>
      <c r="N609" s="1" t="s">
        <v>275</v>
      </c>
      <c r="O609" s="1" t="s">
        <v>1077</v>
      </c>
      <c r="P609" s="1" t="s">
        <v>304</v>
      </c>
      <c r="Q609" s="1" t="s">
        <v>386</v>
      </c>
      <c r="R609" s="1" t="s">
        <v>275</v>
      </c>
      <c r="S609" s="1" t="s">
        <v>71</v>
      </c>
      <c r="T609" s="3" t="str">
        <f>Sheet4!H609</f>
        <v xml:space="preserve"> View Map </v>
      </c>
    </row>
    <row r="610" spans="1:20" ht="15" x14ac:dyDescent="0.25">
      <c r="A610" s="1" t="s">
        <v>2547</v>
      </c>
      <c r="B610" s="1" t="s">
        <v>2548</v>
      </c>
      <c r="C610" s="2">
        <v>2022</v>
      </c>
      <c r="D610" s="1" t="s">
        <v>24</v>
      </c>
      <c r="E610" s="2">
        <v>1</v>
      </c>
      <c r="F610" s="1" t="s">
        <v>2549</v>
      </c>
      <c r="G610" s="1" t="s">
        <v>2549</v>
      </c>
      <c r="H610" s="2">
        <v>0</v>
      </c>
      <c r="I610" s="2">
        <v>90000</v>
      </c>
      <c r="J610" s="1" t="s">
        <v>2097</v>
      </c>
      <c r="K610" s="2">
        <v>90000</v>
      </c>
      <c r="L610" s="1" t="s">
        <v>68</v>
      </c>
      <c r="M610" s="1" t="s">
        <v>69</v>
      </c>
      <c r="N610" s="1" t="s">
        <v>162</v>
      </c>
      <c r="O610" s="1" t="s">
        <v>167</v>
      </c>
      <c r="P610" s="1" t="s">
        <v>162</v>
      </c>
      <c r="Q610" s="1" t="s">
        <v>311</v>
      </c>
      <c r="R610" s="1" t="s">
        <v>162</v>
      </c>
      <c r="S610" s="1" t="s">
        <v>71</v>
      </c>
      <c r="T610" s="3" t="str">
        <f>Sheet4!H610</f>
        <v xml:space="preserve"> View Map </v>
      </c>
    </row>
    <row r="611" spans="1:20" ht="15" x14ac:dyDescent="0.25">
      <c r="A611" s="1" t="s">
        <v>2550</v>
      </c>
      <c r="B611" s="1" t="s">
        <v>2551</v>
      </c>
      <c r="C611" s="2">
        <v>2024</v>
      </c>
      <c r="D611" s="1" t="s">
        <v>24</v>
      </c>
      <c r="E611" s="2">
        <v>1</v>
      </c>
      <c r="F611" s="1" t="s">
        <v>2552</v>
      </c>
      <c r="G611" s="1"/>
      <c r="H611" s="2">
        <v>90</v>
      </c>
      <c r="I611" s="2">
        <v>30000</v>
      </c>
      <c r="J611" s="1" t="s">
        <v>2553</v>
      </c>
      <c r="K611" s="1" t="s">
        <v>28</v>
      </c>
      <c r="L611" s="1" t="s">
        <v>68</v>
      </c>
      <c r="M611" s="1" t="s">
        <v>69</v>
      </c>
      <c r="N611" s="1" t="s">
        <v>72</v>
      </c>
      <c r="O611" s="1" t="s">
        <v>115</v>
      </c>
      <c r="P611" s="1" t="s">
        <v>72</v>
      </c>
      <c r="Q611" s="1" t="s">
        <v>639</v>
      </c>
      <c r="R611" s="1" t="s">
        <v>645</v>
      </c>
      <c r="S611" s="1" t="s">
        <v>71</v>
      </c>
      <c r="T611" s="3" t="str">
        <f>Sheet4!H611</f>
        <v xml:space="preserve"> View Map </v>
      </c>
    </row>
    <row r="612" spans="1:20" ht="15" x14ac:dyDescent="0.25">
      <c r="A612" s="1" t="s">
        <v>2554</v>
      </c>
      <c r="B612" s="1" t="s">
        <v>2555</v>
      </c>
      <c r="C612" s="2">
        <v>2012</v>
      </c>
      <c r="D612" s="1" t="s">
        <v>24</v>
      </c>
      <c r="E612" s="2">
        <v>0</v>
      </c>
      <c r="F612" s="1" t="s">
        <v>2556</v>
      </c>
      <c r="G612" s="1"/>
      <c r="H612" s="2">
        <v>0</v>
      </c>
      <c r="I612" s="2">
        <v>11500</v>
      </c>
      <c r="J612" s="1" t="s">
        <v>2557</v>
      </c>
      <c r="K612" s="1" t="s">
        <v>28</v>
      </c>
      <c r="L612" s="1" t="s">
        <v>68</v>
      </c>
      <c r="M612" s="1" t="s">
        <v>69</v>
      </c>
      <c r="N612" s="1" t="s">
        <v>162</v>
      </c>
      <c r="O612" s="1" t="s">
        <v>360</v>
      </c>
      <c r="P612" s="1" t="s">
        <v>162</v>
      </c>
      <c r="Q612" s="1" t="s">
        <v>355</v>
      </c>
      <c r="R612" s="1" t="s">
        <v>162</v>
      </c>
      <c r="S612" s="1" t="s">
        <v>71</v>
      </c>
      <c r="T612" s="3" t="str">
        <f>Sheet4!H612</f>
        <v xml:space="preserve"> View Map </v>
      </c>
    </row>
    <row r="613" spans="1:20" ht="15" x14ac:dyDescent="0.25">
      <c r="A613" s="1" t="s">
        <v>2558</v>
      </c>
      <c r="B613" s="1" t="s">
        <v>2559</v>
      </c>
      <c r="C613" s="2">
        <v>2024</v>
      </c>
      <c r="D613" s="1" t="s">
        <v>24</v>
      </c>
      <c r="E613" s="2">
        <v>1</v>
      </c>
      <c r="F613" s="1" t="s">
        <v>2559</v>
      </c>
      <c r="G613" s="1"/>
      <c r="H613" s="2">
        <v>0</v>
      </c>
      <c r="I613" s="2">
        <v>50000</v>
      </c>
      <c r="J613" s="1" t="s">
        <v>2560</v>
      </c>
      <c r="K613" s="2">
        <v>50000</v>
      </c>
      <c r="L613" s="1" t="s">
        <v>68</v>
      </c>
      <c r="M613" s="1" t="s">
        <v>69</v>
      </c>
      <c r="N613" s="1" t="s">
        <v>275</v>
      </c>
      <c r="O613" s="1" t="s">
        <v>354</v>
      </c>
      <c r="P613" s="1" t="s">
        <v>275</v>
      </c>
      <c r="Q613" s="1" t="s">
        <v>348</v>
      </c>
      <c r="R613" s="1" t="s">
        <v>275</v>
      </c>
      <c r="S613" s="1" t="s">
        <v>71</v>
      </c>
      <c r="T613" s="3" t="str">
        <f>Sheet4!H613</f>
        <v xml:space="preserve"> View Map </v>
      </c>
    </row>
    <row r="614" spans="1:20" ht="15" x14ac:dyDescent="0.25">
      <c r="A614" s="1" t="s">
        <v>2561</v>
      </c>
      <c r="B614" s="1" t="s">
        <v>2562</v>
      </c>
      <c r="C614" s="2">
        <v>2005</v>
      </c>
      <c r="D614" s="1" t="s">
        <v>24</v>
      </c>
      <c r="E614" s="2">
        <v>0</v>
      </c>
      <c r="F614" s="1"/>
      <c r="G614" s="1"/>
      <c r="H614" s="2">
        <v>0</v>
      </c>
      <c r="I614" s="2">
        <v>0</v>
      </c>
      <c r="J614" s="1" t="s">
        <v>2563</v>
      </c>
      <c r="K614" s="1" t="s">
        <v>28</v>
      </c>
      <c r="L614" s="1" t="s">
        <v>68</v>
      </c>
      <c r="M614" s="1" t="s">
        <v>69</v>
      </c>
      <c r="N614" s="1" t="s">
        <v>275</v>
      </c>
      <c r="O614" s="1" t="s">
        <v>28</v>
      </c>
      <c r="P614" s="1" t="s">
        <v>275</v>
      </c>
      <c r="Q614" s="1" t="s">
        <v>28</v>
      </c>
      <c r="R614" s="1" t="s">
        <v>275</v>
      </c>
      <c r="S614" s="1" t="s">
        <v>71</v>
      </c>
      <c r="T614" s="3" t="str">
        <f>Sheet4!H614</f>
        <v xml:space="preserve"> View Map </v>
      </c>
    </row>
    <row r="615" spans="1:20" ht="15" x14ac:dyDescent="0.25">
      <c r="A615" s="1" t="s">
        <v>2564</v>
      </c>
      <c r="B615" s="1" t="s">
        <v>2565</v>
      </c>
      <c r="C615" s="2">
        <v>2019</v>
      </c>
      <c r="D615" s="1" t="s">
        <v>24</v>
      </c>
      <c r="E615" s="2">
        <v>0</v>
      </c>
      <c r="F615" s="1" t="s">
        <v>1077</v>
      </c>
      <c r="G615" s="1"/>
      <c r="H615" s="2">
        <v>0</v>
      </c>
      <c r="I615" s="2">
        <v>60000</v>
      </c>
      <c r="J615" s="1" t="s">
        <v>2185</v>
      </c>
      <c r="K615" s="2">
        <v>60000</v>
      </c>
      <c r="L615" s="1" t="s">
        <v>68</v>
      </c>
      <c r="M615" s="1" t="s">
        <v>69</v>
      </c>
      <c r="N615" s="1" t="s">
        <v>275</v>
      </c>
      <c r="O615" s="1" t="s">
        <v>1077</v>
      </c>
      <c r="P615" s="1" t="s">
        <v>304</v>
      </c>
      <c r="Q615" s="1" t="s">
        <v>386</v>
      </c>
      <c r="R615" s="1" t="s">
        <v>275</v>
      </c>
      <c r="S615" s="1" t="s">
        <v>71</v>
      </c>
      <c r="T615" s="3" t="str">
        <f>Sheet4!H615</f>
        <v xml:space="preserve"> View Map </v>
      </c>
    </row>
    <row r="616" spans="1:20" ht="15" x14ac:dyDescent="0.25">
      <c r="A616" s="1" t="s">
        <v>2566</v>
      </c>
      <c r="B616" s="1" t="s">
        <v>2567</v>
      </c>
      <c r="C616" s="2">
        <v>2005</v>
      </c>
      <c r="D616" s="1" t="s">
        <v>24</v>
      </c>
      <c r="E616" s="2">
        <v>1</v>
      </c>
      <c r="F616" s="1" t="s">
        <v>2568</v>
      </c>
      <c r="G616" s="1" t="s">
        <v>2569</v>
      </c>
      <c r="H616" s="2">
        <v>0</v>
      </c>
      <c r="I616" s="2">
        <v>18000</v>
      </c>
      <c r="J616" s="1" t="s">
        <v>2570</v>
      </c>
      <c r="K616" s="2">
        <v>18000</v>
      </c>
      <c r="L616" s="1" t="s">
        <v>68</v>
      </c>
      <c r="M616" s="1" t="s">
        <v>69</v>
      </c>
      <c r="N616" s="1" t="s">
        <v>72</v>
      </c>
      <c r="O616" s="1" t="s">
        <v>644</v>
      </c>
      <c r="P616" s="1" t="s">
        <v>72</v>
      </c>
      <c r="Q616" s="1" t="s">
        <v>811</v>
      </c>
      <c r="R616" s="1" t="s">
        <v>72</v>
      </c>
      <c r="S616" s="1" t="s">
        <v>71</v>
      </c>
      <c r="T616" s="3" t="str">
        <f>Sheet4!H616</f>
        <v xml:space="preserve"> View Map </v>
      </c>
    </row>
    <row r="617" spans="1:20" ht="15" x14ac:dyDescent="0.25">
      <c r="A617" s="1" t="s">
        <v>2571</v>
      </c>
      <c r="B617" s="1" t="s">
        <v>2572</v>
      </c>
      <c r="C617" s="2">
        <v>2024</v>
      </c>
      <c r="D617" s="1" t="s">
        <v>24</v>
      </c>
      <c r="E617" s="2">
        <v>1</v>
      </c>
      <c r="F617" s="1" t="s">
        <v>2141</v>
      </c>
      <c r="G617" s="1" t="s">
        <v>2141</v>
      </c>
      <c r="H617" s="2">
        <v>1000</v>
      </c>
      <c r="I617" s="2">
        <v>175000</v>
      </c>
      <c r="J617" s="1" t="s">
        <v>2573</v>
      </c>
      <c r="K617" s="2">
        <v>175000</v>
      </c>
      <c r="L617" s="1" t="s">
        <v>68</v>
      </c>
      <c r="M617" s="1" t="s">
        <v>69</v>
      </c>
      <c r="N617" s="1" t="s">
        <v>275</v>
      </c>
      <c r="O617" s="1" t="s">
        <v>2441</v>
      </c>
      <c r="P617" s="1" t="s">
        <v>275</v>
      </c>
      <c r="Q617" s="1" t="s">
        <v>2132</v>
      </c>
      <c r="R617" s="1" t="s">
        <v>275</v>
      </c>
      <c r="S617" s="1" t="s">
        <v>71</v>
      </c>
      <c r="T617" s="3" t="str">
        <f>Sheet4!H617</f>
        <v xml:space="preserve"> View Map </v>
      </c>
    </row>
    <row r="618" spans="1:20" ht="15" x14ac:dyDescent="0.25">
      <c r="A618" s="1" t="s">
        <v>2574</v>
      </c>
      <c r="B618" s="1" t="s">
        <v>2575</v>
      </c>
      <c r="C618" s="2">
        <v>2005</v>
      </c>
      <c r="D618" s="1" t="s">
        <v>24</v>
      </c>
      <c r="E618" s="2">
        <v>0</v>
      </c>
      <c r="F618" s="1"/>
      <c r="G618" s="1" t="s">
        <v>2576</v>
      </c>
      <c r="H618" s="2">
        <v>3000</v>
      </c>
      <c r="I618" s="2">
        <v>0</v>
      </c>
      <c r="J618" s="1" t="s">
        <v>2577</v>
      </c>
      <c r="K618" s="1" t="s">
        <v>28</v>
      </c>
      <c r="L618" s="1" t="s">
        <v>51</v>
      </c>
      <c r="M618" s="1" t="s">
        <v>159</v>
      </c>
      <c r="N618" s="1" t="s">
        <v>160</v>
      </c>
      <c r="O618" s="1" t="s">
        <v>219</v>
      </c>
      <c r="P618" s="1" t="s">
        <v>153</v>
      </c>
      <c r="Q618" s="1" t="s">
        <v>153</v>
      </c>
      <c r="R618" s="1" t="s">
        <v>588</v>
      </c>
      <c r="S618" s="1" t="s">
        <v>71</v>
      </c>
      <c r="T618" s="3" t="str">
        <f>Sheet4!H618</f>
        <v xml:space="preserve"> View Map </v>
      </c>
    </row>
    <row r="619" spans="1:20" ht="15" x14ac:dyDescent="0.25">
      <c r="A619" s="1" t="s">
        <v>2578</v>
      </c>
      <c r="B619" s="1" t="s">
        <v>2579</v>
      </c>
      <c r="C619" s="2">
        <v>2005</v>
      </c>
      <c r="D619" s="1" t="s">
        <v>24</v>
      </c>
      <c r="E619" s="2">
        <v>0</v>
      </c>
      <c r="F619" s="1"/>
      <c r="G619" s="1" t="s">
        <v>2580</v>
      </c>
      <c r="H619" s="2">
        <v>1800</v>
      </c>
      <c r="I619" s="2">
        <v>0</v>
      </c>
      <c r="J619" s="1" t="s">
        <v>2581</v>
      </c>
      <c r="K619" s="1" t="s">
        <v>28</v>
      </c>
      <c r="L619" s="1" t="s">
        <v>68</v>
      </c>
      <c r="M619" s="1" t="s">
        <v>69</v>
      </c>
      <c r="N619" s="1" t="s">
        <v>275</v>
      </c>
      <c r="O619" s="1" t="s">
        <v>297</v>
      </c>
      <c r="P619" s="1" t="s">
        <v>275</v>
      </c>
      <c r="Q619" s="1" t="s">
        <v>276</v>
      </c>
      <c r="R619" s="1" t="s">
        <v>275</v>
      </c>
      <c r="S619" s="1" t="s">
        <v>71</v>
      </c>
      <c r="T619" s="3" t="str">
        <f>Sheet4!H619</f>
        <v xml:space="preserve"> View Map </v>
      </c>
    </row>
    <row r="620" spans="1:20" ht="15" x14ac:dyDescent="0.25">
      <c r="A620" s="1" t="s">
        <v>2582</v>
      </c>
      <c r="B620" s="1" t="s">
        <v>2583</v>
      </c>
      <c r="C620" s="2">
        <v>2005</v>
      </c>
      <c r="D620" s="1" t="s">
        <v>24</v>
      </c>
      <c r="E620" s="2">
        <v>1</v>
      </c>
      <c r="F620" s="1" t="s">
        <v>2295</v>
      </c>
      <c r="G620" s="1" t="s">
        <v>301</v>
      </c>
      <c r="H620" s="2">
        <v>100</v>
      </c>
      <c r="I620" s="2">
        <v>85000</v>
      </c>
      <c r="J620" s="1" t="s">
        <v>2584</v>
      </c>
      <c r="K620" s="2">
        <v>85000</v>
      </c>
      <c r="L620" s="1" t="s">
        <v>68</v>
      </c>
      <c r="M620" s="1" t="s">
        <v>69</v>
      </c>
      <c r="N620" s="1" t="s">
        <v>275</v>
      </c>
      <c r="O620" s="1" t="s">
        <v>297</v>
      </c>
      <c r="P620" s="1" t="s">
        <v>275</v>
      </c>
      <c r="Q620" s="1" t="s">
        <v>276</v>
      </c>
      <c r="R620" s="1" t="s">
        <v>275</v>
      </c>
      <c r="S620" s="1" t="s">
        <v>71</v>
      </c>
      <c r="T620" s="3" t="str">
        <f>Sheet4!H620</f>
        <v xml:space="preserve"> View Map </v>
      </c>
    </row>
    <row r="621" spans="1:20" ht="15" x14ac:dyDescent="0.25">
      <c r="A621" s="1" t="s">
        <v>2585</v>
      </c>
      <c r="B621" s="1" t="s">
        <v>2586</v>
      </c>
      <c r="C621" s="2">
        <v>2013</v>
      </c>
      <c r="D621" s="1" t="s">
        <v>24</v>
      </c>
      <c r="E621" s="2">
        <v>1</v>
      </c>
      <c r="F621" s="1" t="s">
        <v>2587</v>
      </c>
      <c r="G621" s="1" t="s">
        <v>2588</v>
      </c>
      <c r="H621" s="2">
        <v>150</v>
      </c>
      <c r="I621" s="2">
        <v>50000</v>
      </c>
      <c r="J621" s="1" t="s">
        <v>2589</v>
      </c>
      <c r="K621" s="2">
        <v>50000</v>
      </c>
      <c r="L621" s="1" t="s">
        <v>68</v>
      </c>
      <c r="M621" s="1" t="s">
        <v>69</v>
      </c>
      <c r="N621" s="1" t="s">
        <v>162</v>
      </c>
      <c r="O621" s="1" t="s">
        <v>1568</v>
      </c>
      <c r="P621" s="1" t="s">
        <v>162</v>
      </c>
      <c r="Q621" s="1" t="s">
        <v>162</v>
      </c>
      <c r="R621" s="1" t="s">
        <v>162</v>
      </c>
      <c r="S621" s="1" t="s">
        <v>71</v>
      </c>
      <c r="T621" s="3" t="str">
        <f>Sheet4!H621</f>
        <v xml:space="preserve"> View Map </v>
      </c>
    </row>
    <row r="622" spans="1:20" ht="15" x14ac:dyDescent="0.25">
      <c r="A622" s="1" t="s">
        <v>2590</v>
      </c>
      <c r="B622" s="1" t="s">
        <v>2591</v>
      </c>
      <c r="C622" s="2">
        <v>2005</v>
      </c>
      <c r="D622" s="1" t="s">
        <v>24</v>
      </c>
      <c r="E622" s="2">
        <v>0</v>
      </c>
      <c r="F622" s="1"/>
      <c r="G622" s="1" t="s">
        <v>1720</v>
      </c>
      <c r="H622" s="2">
        <v>0</v>
      </c>
      <c r="I622" s="2">
        <v>0</v>
      </c>
      <c r="J622" s="1" t="s">
        <v>2592</v>
      </c>
      <c r="K622" s="1" t="s">
        <v>28</v>
      </c>
      <c r="L622" s="1" t="s">
        <v>68</v>
      </c>
      <c r="M622" s="1" t="s">
        <v>69</v>
      </c>
      <c r="N622" s="1" t="s">
        <v>275</v>
      </c>
      <c r="O622" s="1" t="s">
        <v>1221</v>
      </c>
      <c r="P622" s="1" t="s">
        <v>275</v>
      </c>
      <c r="Q622" s="1" t="s">
        <v>276</v>
      </c>
      <c r="R622" s="1" t="s">
        <v>275</v>
      </c>
      <c r="S622" s="1" t="s">
        <v>71</v>
      </c>
      <c r="T622" s="3" t="str">
        <f>Sheet4!H622</f>
        <v xml:space="preserve"> View Map </v>
      </c>
    </row>
    <row r="623" spans="1:20" ht="15" x14ac:dyDescent="0.25">
      <c r="A623" s="1" t="s">
        <v>2593</v>
      </c>
      <c r="B623" s="1" t="s">
        <v>2594</v>
      </c>
      <c r="C623" s="2">
        <v>2018</v>
      </c>
      <c r="D623" s="1" t="s">
        <v>24</v>
      </c>
      <c r="E623" s="2">
        <v>0</v>
      </c>
      <c r="F623" s="1" t="s">
        <v>2595</v>
      </c>
      <c r="G623" s="1" t="s">
        <v>2596</v>
      </c>
      <c r="H623" s="2">
        <v>257</v>
      </c>
      <c r="I623" s="2">
        <v>16000</v>
      </c>
      <c r="J623" s="1" t="s">
        <v>2597</v>
      </c>
      <c r="K623" s="1" t="s">
        <v>28</v>
      </c>
      <c r="L623" s="1" t="s">
        <v>68</v>
      </c>
      <c r="M623" s="1" t="s">
        <v>69</v>
      </c>
      <c r="N623" s="1" t="s">
        <v>275</v>
      </c>
      <c r="O623" s="1" t="s">
        <v>1077</v>
      </c>
      <c r="P623" s="1" t="s">
        <v>304</v>
      </c>
      <c r="Q623" s="1" t="s">
        <v>386</v>
      </c>
      <c r="R623" s="1" t="s">
        <v>275</v>
      </c>
      <c r="S623" s="1" t="s">
        <v>71</v>
      </c>
      <c r="T623" s="3" t="str">
        <f>Sheet4!H623</f>
        <v xml:space="preserve"> View Map </v>
      </c>
    </row>
    <row r="624" spans="1:20" ht="15" x14ac:dyDescent="0.25">
      <c r="A624" s="1" t="s">
        <v>2598</v>
      </c>
      <c r="B624" s="1" t="s">
        <v>2599</v>
      </c>
      <c r="C624" s="2">
        <v>2005</v>
      </c>
      <c r="D624" s="1" t="s">
        <v>24</v>
      </c>
      <c r="E624" s="2">
        <v>0</v>
      </c>
      <c r="F624" s="1" t="s">
        <v>2159</v>
      </c>
      <c r="G624" s="1" t="s">
        <v>2158</v>
      </c>
      <c r="H624" s="2">
        <v>150</v>
      </c>
      <c r="I624" s="2">
        <v>28000</v>
      </c>
      <c r="J624" s="1" t="s">
        <v>2600</v>
      </c>
      <c r="K624" s="2">
        <v>28000</v>
      </c>
      <c r="L624" s="1" t="s">
        <v>68</v>
      </c>
      <c r="M624" s="1" t="s">
        <v>69</v>
      </c>
      <c r="N624" s="1" t="s">
        <v>275</v>
      </c>
      <c r="O624" s="1" t="s">
        <v>354</v>
      </c>
      <c r="P624" s="1" t="s">
        <v>275</v>
      </c>
      <c r="Q624" s="1" t="s">
        <v>348</v>
      </c>
      <c r="R624" s="1" t="s">
        <v>275</v>
      </c>
      <c r="S624" s="1" t="s">
        <v>71</v>
      </c>
      <c r="T624" s="3" t="str">
        <f>Sheet4!H624</f>
        <v xml:space="preserve"> View Map </v>
      </c>
    </row>
    <row r="625" spans="1:20" ht="15" x14ac:dyDescent="0.25">
      <c r="A625" s="1" t="s">
        <v>2601</v>
      </c>
      <c r="B625" s="1" t="s">
        <v>2602</v>
      </c>
      <c r="C625" s="2">
        <v>2005</v>
      </c>
      <c r="D625" s="1" t="s">
        <v>24</v>
      </c>
      <c r="E625" s="2">
        <v>1</v>
      </c>
      <c r="F625" s="1" t="s">
        <v>2603</v>
      </c>
      <c r="G625" s="1" t="s">
        <v>2603</v>
      </c>
      <c r="H625" s="2">
        <v>0</v>
      </c>
      <c r="I625" s="2">
        <v>60000</v>
      </c>
      <c r="J625" s="1" t="s">
        <v>2604</v>
      </c>
      <c r="K625" s="2">
        <v>60000</v>
      </c>
      <c r="L625" s="1" t="s">
        <v>68</v>
      </c>
      <c r="M625" s="1" t="s">
        <v>69</v>
      </c>
      <c r="N625" s="1" t="s">
        <v>275</v>
      </c>
      <c r="O625" s="1" t="s">
        <v>391</v>
      </c>
      <c r="P625" s="1" t="s">
        <v>304</v>
      </c>
      <c r="Q625" s="1" t="s">
        <v>386</v>
      </c>
      <c r="R625" s="1" t="s">
        <v>275</v>
      </c>
      <c r="S625" s="1" t="s">
        <v>71</v>
      </c>
      <c r="T625" s="3" t="str">
        <f>Sheet4!H625</f>
        <v xml:space="preserve"> View Map </v>
      </c>
    </row>
    <row r="626" spans="1:20" ht="15" x14ac:dyDescent="0.25">
      <c r="A626" s="1" t="s">
        <v>2605</v>
      </c>
      <c r="B626" s="1" t="s">
        <v>2606</v>
      </c>
      <c r="C626" s="2">
        <v>2005</v>
      </c>
      <c r="D626" s="1" t="s">
        <v>24</v>
      </c>
      <c r="E626" s="2">
        <v>1</v>
      </c>
      <c r="F626" s="1" t="s">
        <v>1211</v>
      </c>
      <c r="G626" s="1" t="s">
        <v>1211</v>
      </c>
      <c r="H626" s="2">
        <v>900</v>
      </c>
      <c r="I626" s="2">
        <v>62000</v>
      </c>
      <c r="J626" s="1" t="s">
        <v>2607</v>
      </c>
      <c r="K626" s="2">
        <v>62000</v>
      </c>
      <c r="L626" s="1" t="s">
        <v>68</v>
      </c>
      <c r="M626" s="1" t="s">
        <v>69</v>
      </c>
      <c r="N626" s="1" t="s">
        <v>72</v>
      </c>
      <c r="O626" s="1" t="s">
        <v>1211</v>
      </c>
      <c r="P626" s="1" t="s">
        <v>72</v>
      </c>
      <c r="Q626" s="1" t="s">
        <v>639</v>
      </c>
      <c r="R626" s="1" t="s">
        <v>72</v>
      </c>
      <c r="S626" s="1" t="s">
        <v>71</v>
      </c>
      <c r="T626" s="3" t="str">
        <f>Sheet4!H626</f>
        <v xml:space="preserve"> View Map </v>
      </c>
    </row>
    <row r="627" spans="1:20" ht="15" x14ac:dyDescent="0.25">
      <c r="A627" s="1" t="s">
        <v>2608</v>
      </c>
      <c r="B627" s="1" t="s">
        <v>2609</v>
      </c>
      <c r="C627" s="2">
        <v>2024</v>
      </c>
      <c r="D627" s="1" t="s">
        <v>24</v>
      </c>
      <c r="E627" s="2">
        <v>1</v>
      </c>
      <c r="F627" s="1" t="s">
        <v>2610</v>
      </c>
      <c r="G627" s="1" t="s">
        <v>2611</v>
      </c>
      <c r="H627" s="2">
        <v>1500</v>
      </c>
      <c r="I627" s="2">
        <v>22750</v>
      </c>
      <c r="J627" s="1" t="s">
        <v>2612</v>
      </c>
      <c r="K627" s="2">
        <v>22750</v>
      </c>
      <c r="L627" s="1" t="s">
        <v>68</v>
      </c>
      <c r="M627" s="1" t="s">
        <v>69</v>
      </c>
      <c r="N627" s="1" t="s">
        <v>275</v>
      </c>
      <c r="O627" s="1" t="s">
        <v>354</v>
      </c>
      <c r="P627" s="1" t="s">
        <v>275</v>
      </c>
      <c r="Q627" s="1" t="s">
        <v>348</v>
      </c>
      <c r="R627" s="1" t="s">
        <v>275</v>
      </c>
      <c r="S627" s="1" t="s">
        <v>71</v>
      </c>
      <c r="T627" s="3" t="str">
        <f>Sheet4!H627</f>
        <v xml:space="preserve"> View Map </v>
      </c>
    </row>
    <row r="628" spans="1:20" ht="15" x14ac:dyDescent="0.25">
      <c r="A628" s="1" t="s">
        <v>2613</v>
      </c>
      <c r="B628" s="1" t="s">
        <v>2614</v>
      </c>
      <c r="C628" s="2">
        <v>2024</v>
      </c>
      <c r="D628" s="1" t="s">
        <v>24</v>
      </c>
      <c r="E628" s="2">
        <v>1</v>
      </c>
      <c r="F628" s="1" t="s">
        <v>2615</v>
      </c>
      <c r="G628" s="1" t="s">
        <v>114</v>
      </c>
      <c r="H628" s="2">
        <v>2000</v>
      </c>
      <c r="I628" s="2">
        <v>90000</v>
      </c>
      <c r="J628" s="1" t="s">
        <v>2616</v>
      </c>
      <c r="K628" s="2">
        <v>90000</v>
      </c>
      <c r="L628" s="1" t="s">
        <v>68</v>
      </c>
      <c r="M628" s="1" t="s">
        <v>69</v>
      </c>
      <c r="N628" s="1" t="s">
        <v>72</v>
      </c>
      <c r="O628" s="1" t="s">
        <v>78</v>
      </c>
      <c r="P628" s="1" t="s">
        <v>72</v>
      </c>
      <c r="Q628" s="1" t="s">
        <v>73</v>
      </c>
      <c r="R628" s="1" t="s">
        <v>73</v>
      </c>
      <c r="S628" s="1" t="s">
        <v>71</v>
      </c>
      <c r="T628" s="3" t="str">
        <f>Sheet4!H628</f>
        <v xml:space="preserve"> View Map </v>
      </c>
    </row>
    <row r="629" spans="1:20" ht="15" x14ac:dyDescent="0.25">
      <c r="A629" s="1" t="s">
        <v>2617</v>
      </c>
      <c r="B629" s="1" t="s">
        <v>2618</v>
      </c>
      <c r="C629" s="2">
        <v>2025</v>
      </c>
      <c r="D629" s="1" t="s">
        <v>24</v>
      </c>
      <c r="E629" s="2">
        <v>1</v>
      </c>
      <c r="F629" s="1" t="s">
        <v>2619</v>
      </c>
      <c r="G629" s="1" t="s">
        <v>2619</v>
      </c>
      <c r="H629" s="2">
        <v>800</v>
      </c>
      <c r="I629" s="2">
        <v>200000</v>
      </c>
      <c r="J629" s="1" t="s">
        <v>2620</v>
      </c>
      <c r="K629" s="2">
        <v>200000</v>
      </c>
      <c r="L629" s="1" t="s">
        <v>68</v>
      </c>
      <c r="M629" s="1" t="s">
        <v>69</v>
      </c>
      <c r="N629" s="1" t="s">
        <v>162</v>
      </c>
      <c r="O629" s="1" t="s">
        <v>365</v>
      </c>
      <c r="P629" s="1" t="s">
        <v>162</v>
      </c>
      <c r="Q629" s="1" t="s">
        <v>355</v>
      </c>
      <c r="R629" s="1" t="s">
        <v>162</v>
      </c>
      <c r="S629" s="1" t="s">
        <v>71</v>
      </c>
      <c r="T629" s="3" t="str">
        <f>Sheet4!H629</f>
        <v xml:space="preserve"> View Map </v>
      </c>
    </row>
    <row r="630" spans="1:20" ht="15" x14ac:dyDescent="0.25">
      <c r="A630" s="1" t="s">
        <v>2621</v>
      </c>
      <c r="B630" s="1" t="s">
        <v>2622</v>
      </c>
      <c r="C630" s="2">
        <v>2025</v>
      </c>
      <c r="D630" s="1" t="s">
        <v>24</v>
      </c>
      <c r="E630" s="2">
        <v>1</v>
      </c>
      <c r="F630" s="1" t="s">
        <v>2623</v>
      </c>
      <c r="G630" s="1" t="s">
        <v>2624</v>
      </c>
      <c r="H630" s="2">
        <v>0</v>
      </c>
      <c r="I630" s="2">
        <v>15750</v>
      </c>
      <c r="J630" s="1" t="s">
        <v>2625</v>
      </c>
      <c r="K630" s="2">
        <v>15750</v>
      </c>
      <c r="L630" s="1" t="s">
        <v>68</v>
      </c>
      <c r="M630" s="1" t="s">
        <v>69</v>
      </c>
      <c r="N630" s="1" t="s">
        <v>275</v>
      </c>
      <c r="O630" s="1" t="s">
        <v>297</v>
      </c>
      <c r="P630" s="1" t="s">
        <v>275</v>
      </c>
      <c r="Q630" s="1" t="s">
        <v>275</v>
      </c>
      <c r="R630" s="1" t="s">
        <v>275</v>
      </c>
      <c r="S630" s="1" t="s">
        <v>71</v>
      </c>
      <c r="T630" s="3" t="str">
        <f>Sheet4!H630</f>
        <v xml:space="preserve"> View Map </v>
      </c>
    </row>
    <row r="631" spans="1:20" ht="15" x14ac:dyDescent="0.25">
      <c r="A631" s="1" t="s">
        <v>2626</v>
      </c>
      <c r="B631" s="1" t="s">
        <v>2627</v>
      </c>
      <c r="C631" s="2">
        <v>2024</v>
      </c>
      <c r="D631" s="1" t="s">
        <v>24</v>
      </c>
      <c r="E631" s="2">
        <v>1</v>
      </c>
      <c r="F631" s="1" t="s">
        <v>2628</v>
      </c>
      <c r="G631" s="1" t="s">
        <v>2629</v>
      </c>
      <c r="H631" s="2">
        <v>0</v>
      </c>
      <c r="I631" s="2">
        <v>88000</v>
      </c>
      <c r="J631" s="1" t="s">
        <v>2630</v>
      </c>
      <c r="K631" s="2">
        <v>88000</v>
      </c>
      <c r="L631" s="1" t="s">
        <v>68</v>
      </c>
      <c r="M631" s="1" t="s">
        <v>69</v>
      </c>
      <c r="N631" s="1" t="s">
        <v>162</v>
      </c>
      <c r="O631" s="1" t="s">
        <v>167</v>
      </c>
      <c r="P631" s="1" t="s">
        <v>162</v>
      </c>
      <c r="Q631" s="1" t="s">
        <v>162</v>
      </c>
      <c r="R631" s="1" t="s">
        <v>162</v>
      </c>
      <c r="S631" s="1" t="s">
        <v>71</v>
      </c>
      <c r="T631" s="3" t="str">
        <f>Sheet4!H631</f>
        <v xml:space="preserve"> View Map </v>
      </c>
    </row>
    <row r="632" spans="1:20" ht="15" x14ac:dyDescent="0.25">
      <c r="A632" s="1" t="s">
        <v>2631</v>
      </c>
      <c r="B632" s="1" t="s">
        <v>2632</v>
      </c>
      <c r="C632" s="2">
        <v>2005</v>
      </c>
      <c r="D632" s="1" t="s">
        <v>24</v>
      </c>
      <c r="E632" s="2">
        <v>0</v>
      </c>
      <c r="F632" s="1"/>
      <c r="G632" s="1" t="s">
        <v>2633</v>
      </c>
      <c r="H632" s="2">
        <v>1250</v>
      </c>
      <c r="I632" s="2">
        <v>0</v>
      </c>
      <c r="J632" s="1" t="s">
        <v>2634</v>
      </c>
      <c r="K632" s="1" t="s">
        <v>28</v>
      </c>
      <c r="L632" s="1" t="s">
        <v>68</v>
      </c>
      <c r="M632" s="1" t="s">
        <v>69</v>
      </c>
      <c r="N632" s="1" t="s">
        <v>275</v>
      </c>
      <c r="O632" s="1" t="s">
        <v>2137</v>
      </c>
      <c r="P632" s="1" t="s">
        <v>275</v>
      </c>
      <c r="Q632" s="1" t="s">
        <v>2132</v>
      </c>
      <c r="R632" s="1" t="s">
        <v>275</v>
      </c>
      <c r="S632" s="1" t="s">
        <v>71</v>
      </c>
      <c r="T632" s="3" t="str">
        <f>Sheet4!H632</f>
        <v xml:space="preserve"> View Map </v>
      </c>
    </row>
    <row r="633" spans="1:20" ht="15" x14ac:dyDescent="0.25">
      <c r="A633" s="1" t="s">
        <v>2635</v>
      </c>
      <c r="B633" s="1" t="s">
        <v>2636</v>
      </c>
      <c r="C633" s="2">
        <v>2014</v>
      </c>
      <c r="D633" s="1" t="s">
        <v>24</v>
      </c>
      <c r="E633" s="2">
        <v>1</v>
      </c>
      <c r="F633" s="1" t="s">
        <v>2637</v>
      </c>
      <c r="G633" s="1" t="s">
        <v>519</v>
      </c>
      <c r="H633" s="2">
        <v>20</v>
      </c>
      <c r="I633" s="2">
        <v>65000</v>
      </c>
      <c r="J633" s="1" t="s">
        <v>2638</v>
      </c>
      <c r="K633" s="2">
        <v>65000</v>
      </c>
      <c r="L633" s="1" t="s">
        <v>68</v>
      </c>
      <c r="M633" s="1" t="s">
        <v>69</v>
      </c>
      <c r="N633" s="1" t="s">
        <v>275</v>
      </c>
      <c r="O633" s="1" t="s">
        <v>391</v>
      </c>
      <c r="P633" s="1" t="s">
        <v>304</v>
      </c>
      <c r="Q633" s="1" t="s">
        <v>386</v>
      </c>
      <c r="R633" s="1" t="s">
        <v>275</v>
      </c>
      <c r="S633" s="1" t="s">
        <v>71</v>
      </c>
      <c r="T633" s="3" t="str">
        <f>Sheet4!H633</f>
        <v xml:space="preserve"> View Map </v>
      </c>
    </row>
    <row r="634" spans="1:20" ht="15" x14ac:dyDescent="0.25">
      <c r="A634" s="1" t="s">
        <v>2639</v>
      </c>
      <c r="B634" s="1" t="s">
        <v>2640</v>
      </c>
      <c r="C634" s="2">
        <v>2024</v>
      </c>
      <c r="D634" s="1" t="s">
        <v>24</v>
      </c>
      <c r="E634" s="2">
        <v>1</v>
      </c>
      <c r="F634" s="1" t="s">
        <v>2641</v>
      </c>
      <c r="G634" s="1" t="s">
        <v>2641</v>
      </c>
      <c r="H634" s="2">
        <v>1200</v>
      </c>
      <c r="I634" s="2">
        <v>48000</v>
      </c>
      <c r="J634" s="1" t="s">
        <v>2642</v>
      </c>
      <c r="K634" s="2">
        <v>48000</v>
      </c>
      <c r="L634" s="1" t="s">
        <v>68</v>
      </c>
      <c r="M634" s="1" t="s">
        <v>69</v>
      </c>
      <c r="N634" s="1" t="s">
        <v>162</v>
      </c>
      <c r="O634" s="1" t="s">
        <v>167</v>
      </c>
      <c r="P634" s="1" t="s">
        <v>162</v>
      </c>
      <c r="Q634" s="1" t="s">
        <v>311</v>
      </c>
      <c r="R634" s="1" t="s">
        <v>162</v>
      </c>
      <c r="S634" s="1" t="s">
        <v>71</v>
      </c>
      <c r="T634" s="3" t="str">
        <f>Sheet4!H634</f>
        <v xml:space="preserve"> View Map </v>
      </c>
    </row>
    <row r="635" spans="1:20" ht="15" x14ac:dyDescent="0.25">
      <c r="A635" s="1" t="s">
        <v>2643</v>
      </c>
      <c r="B635" s="1" t="s">
        <v>2644</v>
      </c>
      <c r="C635" s="2">
        <v>2020</v>
      </c>
      <c r="D635" s="1" t="s">
        <v>24</v>
      </c>
      <c r="E635" s="2">
        <v>0</v>
      </c>
      <c r="F635" s="1" t="s">
        <v>2645</v>
      </c>
      <c r="G635" s="1" t="s">
        <v>2645</v>
      </c>
      <c r="H635" s="2">
        <v>35</v>
      </c>
      <c r="I635" s="2">
        <v>10000</v>
      </c>
      <c r="J635" s="1" t="s">
        <v>2646</v>
      </c>
      <c r="K635" s="2">
        <v>10000</v>
      </c>
      <c r="L635" s="1" t="s">
        <v>68</v>
      </c>
      <c r="M635" s="1" t="s">
        <v>69</v>
      </c>
      <c r="N635" s="1" t="s">
        <v>275</v>
      </c>
      <c r="O635" s="1" t="s">
        <v>1060</v>
      </c>
      <c r="P635" s="1" t="s">
        <v>275</v>
      </c>
      <c r="Q635" s="1" t="s">
        <v>275</v>
      </c>
      <c r="R635" s="1" t="s">
        <v>275</v>
      </c>
      <c r="S635" s="1" t="s">
        <v>71</v>
      </c>
      <c r="T635" s="3" t="str">
        <f>Sheet4!H635</f>
        <v xml:space="preserve"> View Map </v>
      </c>
    </row>
    <row r="636" spans="1:20" ht="15" x14ac:dyDescent="0.25">
      <c r="A636" s="1" t="s">
        <v>2647</v>
      </c>
      <c r="B636" s="1" t="s">
        <v>2648</v>
      </c>
      <c r="C636" s="2">
        <v>2024</v>
      </c>
      <c r="D636" s="1" t="s">
        <v>24</v>
      </c>
      <c r="E636" s="2">
        <v>1</v>
      </c>
      <c r="F636" s="1" t="s">
        <v>2649</v>
      </c>
      <c r="G636" s="1" t="s">
        <v>1685</v>
      </c>
      <c r="H636" s="2">
        <v>150</v>
      </c>
      <c r="I636" s="2">
        <v>79500</v>
      </c>
      <c r="J636" s="1" t="s">
        <v>2650</v>
      </c>
      <c r="K636" s="2">
        <v>79500</v>
      </c>
      <c r="L636" s="1" t="s">
        <v>68</v>
      </c>
      <c r="M636" s="1" t="s">
        <v>69</v>
      </c>
      <c r="N636" s="1" t="s">
        <v>275</v>
      </c>
      <c r="O636" s="1" t="s">
        <v>1077</v>
      </c>
      <c r="P636" s="1" t="s">
        <v>304</v>
      </c>
      <c r="Q636" s="1" t="s">
        <v>386</v>
      </c>
      <c r="R636" s="1" t="s">
        <v>275</v>
      </c>
      <c r="S636" s="1" t="s">
        <v>71</v>
      </c>
      <c r="T636" s="3" t="str">
        <f>Sheet4!H636</f>
        <v xml:space="preserve"> View Map </v>
      </c>
    </row>
    <row r="637" spans="1:20" ht="15" x14ac:dyDescent="0.25">
      <c r="A637" s="1" t="s">
        <v>2651</v>
      </c>
      <c r="B637" s="1" t="s">
        <v>2652</v>
      </c>
      <c r="C637" s="2">
        <v>1988</v>
      </c>
      <c r="D637" s="1" t="s">
        <v>24</v>
      </c>
      <c r="E637" s="2">
        <v>1</v>
      </c>
      <c r="F637" s="1" t="s">
        <v>2653</v>
      </c>
      <c r="G637" s="1" t="s">
        <v>2653</v>
      </c>
      <c r="H637" s="2">
        <v>100</v>
      </c>
      <c r="I637" s="2">
        <v>25500</v>
      </c>
      <c r="J637" s="1" t="s">
        <v>2654</v>
      </c>
      <c r="K637" s="2">
        <v>25500</v>
      </c>
      <c r="L637" s="1" t="s">
        <v>68</v>
      </c>
      <c r="M637" s="1" t="s">
        <v>69</v>
      </c>
      <c r="N637" s="1" t="s">
        <v>275</v>
      </c>
      <c r="O637" s="1" t="s">
        <v>354</v>
      </c>
      <c r="P637" s="1" t="s">
        <v>275</v>
      </c>
      <c r="Q637" s="1" t="s">
        <v>348</v>
      </c>
      <c r="R637" s="1" t="s">
        <v>275</v>
      </c>
      <c r="S637" s="1" t="s">
        <v>71</v>
      </c>
      <c r="T637" s="3" t="str">
        <f>Sheet4!H637</f>
        <v xml:space="preserve"> View Map </v>
      </c>
    </row>
    <row r="638" spans="1:20" ht="15" x14ac:dyDescent="0.25">
      <c r="A638" s="1" t="s">
        <v>2655</v>
      </c>
      <c r="B638" s="1" t="s">
        <v>2656</v>
      </c>
      <c r="C638" s="2">
        <v>2016</v>
      </c>
      <c r="D638" s="1" t="s">
        <v>24</v>
      </c>
      <c r="E638" s="2">
        <v>0</v>
      </c>
      <c r="F638" s="1" t="s">
        <v>2657</v>
      </c>
      <c r="G638" s="1" t="s">
        <v>1966</v>
      </c>
      <c r="H638" s="2">
        <v>0</v>
      </c>
      <c r="I638" s="2">
        <v>17750</v>
      </c>
      <c r="J638" s="1" t="s">
        <v>2658</v>
      </c>
      <c r="K638" s="2">
        <v>17750</v>
      </c>
      <c r="L638" s="1" t="s">
        <v>68</v>
      </c>
      <c r="M638" s="1" t="s">
        <v>69</v>
      </c>
      <c r="N638" s="1" t="s">
        <v>309</v>
      </c>
      <c r="O638" s="1" t="s">
        <v>2656</v>
      </c>
      <c r="P638" s="1" t="s">
        <v>304</v>
      </c>
      <c r="Q638" s="1" t="s">
        <v>305</v>
      </c>
      <c r="R638" s="1" t="s">
        <v>309</v>
      </c>
      <c r="S638" s="1" t="s">
        <v>71</v>
      </c>
      <c r="T638" s="3" t="str">
        <f>Sheet4!H638</f>
        <v xml:space="preserve"> View Map </v>
      </c>
    </row>
    <row r="639" spans="1:20" ht="15" x14ac:dyDescent="0.25">
      <c r="A639" s="1" t="s">
        <v>2659</v>
      </c>
      <c r="B639" s="1" t="s">
        <v>2660</v>
      </c>
      <c r="C639" s="2">
        <v>2012</v>
      </c>
      <c r="D639" s="1" t="s">
        <v>24</v>
      </c>
      <c r="E639" s="2">
        <v>1</v>
      </c>
      <c r="F639" s="1" t="s">
        <v>2660</v>
      </c>
      <c r="G639" s="1"/>
      <c r="H639" s="2">
        <v>0</v>
      </c>
      <c r="I639" s="2">
        <v>35000</v>
      </c>
      <c r="J639" s="1" t="s">
        <v>2661</v>
      </c>
      <c r="K639" s="2">
        <v>35000</v>
      </c>
      <c r="L639" s="1" t="s">
        <v>68</v>
      </c>
      <c r="M639" s="1" t="s">
        <v>69</v>
      </c>
      <c r="N639" s="1" t="s">
        <v>275</v>
      </c>
      <c r="O639" s="1" t="s">
        <v>354</v>
      </c>
      <c r="P639" s="1" t="s">
        <v>275</v>
      </c>
      <c r="Q639" s="1" t="s">
        <v>348</v>
      </c>
      <c r="R639" s="1" t="s">
        <v>275</v>
      </c>
      <c r="S639" s="1" t="s">
        <v>71</v>
      </c>
      <c r="T639" s="3" t="str">
        <f>Sheet4!H639</f>
        <v xml:space="preserve"> View Map </v>
      </c>
    </row>
    <row r="640" spans="1:20" ht="15" x14ac:dyDescent="0.25">
      <c r="A640" s="1" t="s">
        <v>2662</v>
      </c>
      <c r="B640" s="1" t="s">
        <v>2663</v>
      </c>
      <c r="C640" s="2">
        <v>1989</v>
      </c>
      <c r="D640" s="1" t="s">
        <v>24</v>
      </c>
      <c r="E640" s="2">
        <v>0</v>
      </c>
      <c r="F640" s="1" t="s">
        <v>2664</v>
      </c>
      <c r="G640" s="1" t="s">
        <v>2196</v>
      </c>
      <c r="H640" s="2">
        <v>2000</v>
      </c>
      <c r="I640" s="2">
        <v>45000</v>
      </c>
      <c r="J640" s="1" t="s">
        <v>2665</v>
      </c>
      <c r="K640" s="2">
        <v>45000</v>
      </c>
      <c r="L640" s="1" t="s">
        <v>68</v>
      </c>
      <c r="M640" s="1" t="s">
        <v>69</v>
      </c>
      <c r="N640" s="1" t="s">
        <v>275</v>
      </c>
      <c r="O640" s="1" t="s">
        <v>2137</v>
      </c>
      <c r="P640" s="1" t="s">
        <v>275</v>
      </c>
      <c r="Q640" s="1" t="s">
        <v>2132</v>
      </c>
      <c r="R640" s="1" t="s">
        <v>275</v>
      </c>
      <c r="S640" s="1" t="s">
        <v>71</v>
      </c>
      <c r="T640" s="3" t="str">
        <f>Sheet4!H640</f>
        <v xml:space="preserve"> View Map </v>
      </c>
    </row>
    <row r="641" spans="1:20" ht="15" x14ac:dyDescent="0.25">
      <c r="A641" s="1" t="s">
        <v>2666</v>
      </c>
      <c r="B641" s="1" t="s">
        <v>2667</v>
      </c>
      <c r="C641" s="2">
        <v>2003</v>
      </c>
      <c r="D641" s="1" t="s">
        <v>24</v>
      </c>
      <c r="E641" s="2">
        <v>1</v>
      </c>
      <c r="F641" s="1" t="s">
        <v>2668</v>
      </c>
      <c r="G641" s="1" t="s">
        <v>2667</v>
      </c>
      <c r="H641" s="2">
        <v>200</v>
      </c>
      <c r="I641" s="2">
        <v>50000</v>
      </c>
      <c r="J641" s="1" t="s">
        <v>2669</v>
      </c>
      <c r="K641" s="2">
        <v>44000</v>
      </c>
      <c r="L641" s="1" t="s">
        <v>68</v>
      </c>
      <c r="M641" s="1" t="s">
        <v>69</v>
      </c>
      <c r="N641" s="1" t="s">
        <v>275</v>
      </c>
      <c r="O641" s="1" t="s">
        <v>2441</v>
      </c>
      <c r="P641" s="1" t="s">
        <v>275</v>
      </c>
      <c r="Q641" s="1" t="s">
        <v>2132</v>
      </c>
      <c r="R641" s="1" t="s">
        <v>275</v>
      </c>
      <c r="S641" s="1" t="s">
        <v>71</v>
      </c>
      <c r="T641" s="3" t="str">
        <f>Sheet4!H641</f>
        <v xml:space="preserve"> View Map </v>
      </c>
    </row>
    <row r="642" spans="1:20" ht="15" x14ac:dyDescent="0.25">
      <c r="A642" s="1" t="s">
        <v>2670</v>
      </c>
      <c r="B642" s="1" t="s">
        <v>2671</v>
      </c>
      <c r="C642" s="2">
        <v>2014</v>
      </c>
      <c r="D642" s="1" t="s">
        <v>24</v>
      </c>
      <c r="E642" s="2">
        <v>1</v>
      </c>
      <c r="F642" s="1" t="s">
        <v>2672</v>
      </c>
      <c r="G642" s="1"/>
      <c r="H642" s="2">
        <v>500</v>
      </c>
      <c r="I642" s="2">
        <v>50000</v>
      </c>
      <c r="J642" s="1" t="s">
        <v>2673</v>
      </c>
      <c r="K642" s="2">
        <v>26000</v>
      </c>
      <c r="L642" s="1" t="s">
        <v>68</v>
      </c>
      <c r="M642" s="1" t="s">
        <v>69</v>
      </c>
      <c r="N642" s="1" t="s">
        <v>275</v>
      </c>
      <c r="O642" s="1" t="s">
        <v>2441</v>
      </c>
      <c r="P642" s="1" t="s">
        <v>275</v>
      </c>
      <c r="Q642" s="1" t="s">
        <v>2132</v>
      </c>
      <c r="R642" s="1" t="s">
        <v>275</v>
      </c>
      <c r="S642" s="1" t="s">
        <v>71</v>
      </c>
      <c r="T642" s="3" t="str">
        <f>Sheet4!H642</f>
        <v xml:space="preserve"> View Map </v>
      </c>
    </row>
    <row r="643" spans="1:20" ht="15" x14ac:dyDescent="0.25">
      <c r="A643" s="1" t="s">
        <v>2674</v>
      </c>
      <c r="B643" s="1" t="s">
        <v>2675</v>
      </c>
      <c r="C643" s="2">
        <v>2005</v>
      </c>
      <c r="D643" s="1" t="s">
        <v>24</v>
      </c>
      <c r="E643" s="2">
        <v>0</v>
      </c>
      <c r="F643" s="1" t="s">
        <v>2611</v>
      </c>
      <c r="G643" s="1" t="s">
        <v>2559</v>
      </c>
      <c r="H643" s="2">
        <v>500</v>
      </c>
      <c r="I643" s="2">
        <v>14000</v>
      </c>
      <c r="J643" s="1" t="s">
        <v>2676</v>
      </c>
      <c r="K643" s="1" t="s">
        <v>28</v>
      </c>
      <c r="L643" s="1" t="s">
        <v>68</v>
      </c>
      <c r="M643" s="1" t="s">
        <v>69</v>
      </c>
      <c r="N643" s="1" t="s">
        <v>275</v>
      </c>
      <c r="O643" s="1" t="s">
        <v>354</v>
      </c>
      <c r="P643" s="1" t="s">
        <v>275</v>
      </c>
      <c r="Q643" s="1" t="s">
        <v>348</v>
      </c>
      <c r="R643" s="1" t="s">
        <v>275</v>
      </c>
      <c r="S643" s="1" t="s">
        <v>71</v>
      </c>
      <c r="T643" s="3" t="str">
        <f>Sheet4!H643</f>
        <v xml:space="preserve"> View Map </v>
      </c>
    </row>
    <row r="644" spans="1:20" ht="15" x14ac:dyDescent="0.25">
      <c r="A644" s="1" t="s">
        <v>2677</v>
      </c>
      <c r="B644" s="1" t="s">
        <v>2678</v>
      </c>
      <c r="C644" s="2">
        <v>2015</v>
      </c>
      <c r="D644" s="1" t="s">
        <v>24</v>
      </c>
      <c r="E644" s="2">
        <v>1</v>
      </c>
      <c r="F644" s="1" t="s">
        <v>2679</v>
      </c>
      <c r="G644" s="1" t="s">
        <v>2679</v>
      </c>
      <c r="H644" s="2">
        <v>20</v>
      </c>
      <c r="I644" s="2">
        <v>27000</v>
      </c>
      <c r="J644" s="1" t="s">
        <v>2680</v>
      </c>
      <c r="K644" s="2">
        <v>27000</v>
      </c>
      <c r="L644" s="1" t="s">
        <v>68</v>
      </c>
      <c r="M644" s="1" t="s">
        <v>69</v>
      </c>
      <c r="N644" s="1" t="s">
        <v>275</v>
      </c>
      <c r="O644" s="1" t="s">
        <v>1077</v>
      </c>
      <c r="P644" s="1" t="s">
        <v>304</v>
      </c>
      <c r="Q644" s="1" t="s">
        <v>386</v>
      </c>
      <c r="R644" s="1" t="s">
        <v>275</v>
      </c>
      <c r="S644" s="1" t="s">
        <v>71</v>
      </c>
      <c r="T644" s="3" t="str">
        <f>Sheet4!H644</f>
        <v xml:space="preserve"> View Map </v>
      </c>
    </row>
    <row r="645" spans="1:20" ht="15" x14ac:dyDescent="0.25">
      <c r="A645" s="1" t="s">
        <v>2681</v>
      </c>
      <c r="B645" s="1" t="s">
        <v>2682</v>
      </c>
      <c r="C645" s="2">
        <v>2005</v>
      </c>
      <c r="D645" s="1" t="s">
        <v>24</v>
      </c>
      <c r="E645" s="2">
        <v>0</v>
      </c>
      <c r="F645" s="1"/>
      <c r="G645" s="1" t="s">
        <v>426</v>
      </c>
      <c r="H645" s="2">
        <v>4550</v>
      </c>
      <c r="I645" s="2">
        <v>11500</v>
      </c>
      <c r="J645" s="1" t="s">
        <v>2683</v>
      </c>
      <c r="K645" s="1" t="s">
        <v>28</v>
      </c>
      <c r="L645" s="1" t="s">
        <v>29</v>
      </c>
      <c r="M645" s="1" t="s">
        <v>30</v>
      </c>
      <c r="N645" s="1" t="s">
        <v>20</v>
      </c>
      <c r="O645" s="1" t="s">
        <v>28</v>
      </c>
      <c r="P645" s="1" t="s">
        <v>45</v>
      </c>
      <c r="Q645" s="1" t="s">
        <v>33</v>
      </c>
      <c r="R645" s="1" t="s">
        <v>20</v>
      </c>
      <c r="S645" s="1" t="s">
        <v>71</v>
      </c>
      <c r="T645" s="3" t="str">
        <f>Sheet4!H645</f>
        <v xml:space="preserve"> View Map </v>
      </c>
    </row>
    <row r="646" spans="1:20" ht="15" x14ac:dyDescent="0.25">
      <c r="A646" s="1" t="s">
        <v>2684</v>
      </c>
      <c r="B646" s="1" t="s">
        <v>2685</v>
      </c>
      <c r="C646" s="2">
        <v>1990</v>
      </c>
      <c r="D646" s="1" t="s">
        <v>24</v>
      </c>
      <c r="E646" s="2">
        <v>1</v>
      </c>
      <c r="F646" s="1" t="s">
        <v>2686</v>
      </c>
      <c r="G646" s="1" t="s">
        <v>2687</v>
      </c>
      <c r="H646" s="2">
        <v>250</v>
      </c>
      <c r="I646" s="2">
        <v>33600</v>
      </c>
      <c r="J646" s="1" t="s">
        <v>2688</v>
      </c>
      <c r="K646" s="2">
        <v>33600</v>
      </c>
      <c r="L646" s="1" t="s">
        <v>68</v>
      </c>
      <c r="M646" s="1" t="s">
        <v>69</v>
      </c>
      <c r="N646" s="1" t="s">
        <v>275</v>
      </c>
      <c r="O646" s="1" t="s">
        <v>2526</v>
      </c>
      <c r="P646" s="1" t="s">
        <v>72</v>
      </c>
      <c r="Q646" s="1" t="s">
        <v>639</v>
      </c>
      <c r="R646" s="1" t="s">
        <v>275</v>
      </c>
      <c r="S646" s="1" t="s">
        <v>71</v>
      </c>
      <c r="T646" s="3" t="str">
        <f>Sheet4!H646</f>
        <v xml:space="preserve"> View Map </v>
      </c>
    </row>
    <row r="647" spans="1:20" ht="15" x14ac:dyDescent="0.25">
      <c r="A647" s="1" t="s">
        <v>2689</v>
      </c>
      <c r="B647" s="1" t="s">
        <v>2629</v>
      </c>
      <c r="C647" s="2">
        <v>2016</v>
      </c>
      <c r="D647" s="1" t="s">
        <v>24</v>
      </c>
      <c r="E647" s="2">
        <v>0</v>
      </c>
      <c r="F647" s="1" t="s">
        <v>2629</v>
      </c>
      <c r="G647" s="1" t="s">
        <v>2629</v>
      </c>
      <c r="H647" s="2">
        <v>1200</v>
      </c>
      <c r="I647" s="2">
        <v>32000</v>
      </c>
      <c r="J647" s="1" t="s">
        <v>2690</v>
      </c>
      <c r="K647" s="1" t="s">
        <v>28</v>
      </c>
      <c r="L647" s="1" t="s">
        <v>68</v>
      </c>
      <c r="M647" s="1" t="s">
        <v>69</v>
      </c>
      <c r="N647" s="1" t="s">
        <v>162</v>
      </c>
      <c r="O647" s="1" t="s">
        <v>167</v>
      </c>
      <c r="P647" s="1" t="s">
        <v>162</v>
      </c>
      <c r="Q647" s="1" t="s">
        <v>311</v>
      </c>
      <c r="R647" s="1" t="s">
        <v>162</v>
      </c>
      <c r="S647" s="1" t="s">
        <v>71</v>
      </c>
      <c r="T647" s="3" t="str">
        <f>Sheet4!H647</f>
        <v xml:space="preserve"> View Map </v>
      </c>
    </row>
    <row r="648" spans="1:20" ht="15" x14ac:dyDescent="0.25">
      <c r="A648" s="1" t="s">
        <v>2691</v>
      </c>
      <c r="B648" s="1" t="s">
        <v>2692</v>
      </c>
      <c r="C648" s="2">
        <v>2005</v>
      </c>
      <c r="D648" s="1" t="s">
        <v>24</v>
      </c>
      <c r="E648" s="2">
        <v>1</v>
      </c>
      <c r="F648" s="1" t="s">
        <v>2693</v>
      </c>
      <c r="G648" s="1" t="s">
        <v>2694</v>
      </c>
      <c r="H648" s="2">
        <v>100</v>
      </c>
      <c r="I648" s="2">
        <v>20000</v>
      </c>
      <c r="J648" s="1" t="s">
        <v>2695</v>
      </c>
      <c r="K648" s="2">
        <v>20000</v>
      </c>
      <c r="L648" s="1" t="s">
        <v>68</v>
      </c>
      <c r="M648" s="1" t="s">
        <v>69</v>
      </c>
      <c r="N648" s="1" t="s">
        <v>275</v>
      </c>
      <c r="O648" s="1" t="s">
        <v>1833</v>
      </c>
      <c r="P648" s="1" t="s">
        <v>275</v>
      </c>
      <c r="Q648" s="1" t="s">
        <v>275</v>
      </c>
      <c r="R648" s="1" t="s">
        <v>275</v>
      </c>
      <c r="S648" s="1" t="s">
        <v>71</v>
      </c>
      <c r="T648" s="3" t="str">
        <f>Sheet4!H648</f>
        <v xml:space="preserve"> View Map </v>
      </c>
    </row>
    <row r="649" spans="1:20" ht="15" x14ac:dyDescent="0.25">
      <c r="A649" s="1" t="s">
        <v>2696</v>
      </c>
      <c r="B649" s="1" t="s">
        <v>2697</v>
      </c>
      <c r="C649" s="2">
        <v>1990</v>
      </c>
      <c r="D649" s="1" t="s">
        <v>24</v>
      </c>
      <c r="E649" s="2">
        <v>0</v>
      </c>
      <c r="F649" s="1" t="s">
        <v>114</v>
      </c>
      <c r="G649" s="1" t="s">
        <v>114</v>
      </c>
      <c r="H649" s="2">
        <v>450</v>
      </c>
      <c r="I649" s="2">
        <v>60000</v>
      </c>
      <c r="J649" s="1" t="s">
        <v>114</v>
      </c>
      <c r="K649" s="2">
        <v>60000</v>
      </c>
      <c r="L649" s="1" t="s">
        <v>68</v>
      </c>
      <c r="M649" s="1" t="s">
        <v>69</v>
      </c>
      <c r="N649" s="1" t="s">
        <v>72</v>
      </c>
      <c r="O649" s="1" t="s">
        <v>78</v>
      </c>
      <c r="P649" s="1" t="s">
        <v>72</v>
      </c>
      <c r="Q649" s="1" t="s">
        <v>73</v>
      </c>
      <c r="R649" s="1" t="s">
        <v>73</v>
      </c>
      <c r="S649" s="1" t="s">
        <v>71</v>
      </c>
      <c r="T649" s="3" t="str">
        <f>Sheet4!H649</f>
        <v xml:space="preserve"> View Map </v>
      </c>
    </row>
    <row r="650" spans="1:20" ht="15" x14ac:dyDescent="0.25">
      <c r="A650" s="1" t="s">
        <v>2698</v>
      </c>
      <c r="B650" s="1" t="s">
        <v>2699</v>
      </c>
      <c r="C650" s="2">
        <v>2024</v>
      </c>
      <c r="D650" s="1" t="s">
        <v>24</v>
      </c>
      <c r="E650" s="2">
        <v>1</v>
      </c>
      <c r="F650" s="1" t="s">
        <v>2700</v>
      </c>
      <c r="G650" s="1" t="s">
        <v>2701</v>
      </c>
      <c r="H650" s="2">
        <v>0</v>
      </c>
      <c r="I650" s="2">
        <v>28000</v>
      </c>
      <c r="J650" s="1" t="s">
        <v>2702</v>
      </c>
      <c r="K650" s="2">
        <v>28000</v>
      </c>
      <c r="L650" s="1" t="s">
        <v>68</v>
      </c>
      <c r="M650" s="1" t="s">
        <v>69</v>
      </c>
      <c r="N650" s="1" t="s">
        <v>275</v>
      </c>
      <c r="O650" s="1" t="s">
        <v>297</v>
      </c>
      <c r="P650" s="1" t="s">
        <v>275</v>
      </c>
      <c r="Q650" s="1" t="s">
        <v>402</v>
      </c>
      <c r="R650" s="1" t="s">
        <v>275</v>
      </c>
      <c r="S650" s="1" t="s">
        <v>71</v>
      </c>
      <c r="T650" s="3" t="str">
        <f>Sheet4!H650</f>
        <v xml:space="preserve"> View Map </v>
      </c>
    </row>
    <row r="651" spans="1:20" ht="15" x14ac:dyDescent="0.25">
      <c r="A651" s="1" t="s">
        <v>2703</v>
      </c>
      <c r="B651" s="1" t="s">
        <v>2087</v>
      </c>
      <c r="C651" s="2">
        <v>2005</v>
      </c>
      <c r="D651" s="1" t="s">
        <v>81</v>
      </c>
      <c r="E651" s="2">
        <v>0</v>
      </c>
      <c r="F651" s="1"/>
      <c r="G651" s="1" t="s">
        <v>2135</v>
      </c>
      <c r="H651" s="2">
        <v>160</v>
      </c>
      <c r="I651" s="2">
        <v>18000</v>
      </c>
      <c r="J651" s="1" t="s">
        <v>2704</v>
      </c>
      <c r="K651" s="1" t="s">
        <v>28</v>
      </c>
      <c r="L651" s="1" t="s">
        <v>68</v>
      </c>
      <c r="M651" s="1" t="s">
        <v>69</v>
      </c>
      <c r="N651" s="1" t="s">
        <v>275</v>
      </c>
      <c r="O651" s="1" t="s">
        <v>2137</v>
      </c>
      <c r="P651" s="1" t="s">
        <v>275</v>
      </c>
      <c r="Q651" s="1" t="s">
        <v>2132</v>
      </c>
      <c r="R651" s="1" t="s">
        <v>275</v>
      </c>
      <c r="S651" s="1" t="s">
        <v>71</v>
      </c>
      <c r="T651" s="3" t="str">
        <f>Sheet4!H651</f>
        <v xml:space="preserve"> View Map </v>
      </c>
    </row>
    <row r="652" spans="1:20" ht="15" x14ac:dyDescent="0.25">
      <c r="A652" s="1" t="s">
        <v>2705</v>
      </c>
      <c r="B652" s="1" t="s">
        <v>2706</v>
      </c>
      <c r="C652" s="2">
        <v>2019</v>
      </c>
      <c r="D652" s="1" t="s">
        <v>24</v>
      </c>
      <c r="E652" s="2">
        <v>1</v>
      </c>
      <c r="F652" s="1" t="s">
        <v>2707</v>
      </c>
      <c r="G652" s="1" t="s">
        <v>2708</v>
      </c>
      <c r="H652" s="2">
        <v>0</v>
      </c>
      <c r="I652" s="2">
        <v>8000</v>
      </c>
      <c r="J652" s="1" t="s">
        <v>2709</v>
      </c>
      <c r="K652" s="2">
        <v>8000</v>
      </c>
      <c r="L652" s="1" t="s">
        <v>68</v>
      </c>
      <c r="M652" s="1" t="s">
        <v>69</v>
      </c>
      <c r="N652" s="1" t="s">
        <v>275</v>
      </c>
      <c r="O652" s="1" t="s">
        <v>1077</v>
      </c>
      <c r="P652" s="1" t="s">
        <v>304</v>
      </c>
      <c r="Q652" s="1" t="s">
        <v>386</v>
      </c>
      <c r="R652" s="1" t="s">
        <v>275</v>
      </c>
      <c r="S652" s="1" t="s">
        <v>71</v>
      </c>
      <c r="T652" s="3" t="str">
        <f>Sheet4!H652</f>
        <v xml:space="preserve"> View Map </v>
      </c>
    </row>
    <row r="653" spans="1:20" ht="15" x14ac:dyDescent="0.25">
      <c r="A653" s="1" t="s">
        <v>2710</v>
      </c>
      <c r="B653" s="1" t="s">
        <v>2711</v>
      </c>
      <c r="C653" s="2">
        <v>2013</v>
      </c>
      <c r="D653" s="1" t="s">
        <v>24</v>
      </c>
      <c r="E653" s="2">
        <v>1</v>
      </c>
      <c r="F653" s="1" t="s">
        <v>2556</v>
      </c>
      <c r="G653" s="1" t="s">
        <v>2453</v>
      </c>
      <c r="H653" s="2">
        <v>300</v>
      </c>
      <c r="I653" s="2">
        <v>40000</v>
      </c>
      <c r="J653" s="1" t="s">
        <v>2712</v>
      </c>
      <c r="K653" s="2">
        <v>40000</v>
      </c>
      <c r="L653" s="1" t="s">
        <v>68</v>
      </c>
      <c r="M653" s="1" t="s">
        <v>69</v>
      </c>
      <c r="N653" s="1" t="s">
        <v>162</v>
      </c>
      <c r="O653" s="1" t="s">
        <v>360</v>
      </c>
      <c r="P653" s="1" t="s">
        <v>162</v>
      </c>
      <c r="Q653" s="1" t="s">
        <v>355</v>
      </c>
      <c r="R653" s="1" t="s">
        <v>162</v>
      </c>
      <c r="S653" s="1" t="s">
        <v>71</v>
      </c>
      <c r="T653" s="3" t="str">
        <f>Sheet4!H653</f>
        <v xml:space="preserve"> View Map </v>
      </c>
    </row>
    <row r="654" spans="1:20" ht="15" x14ac:dyDescent="0.25">
      <c r="A654" s="1" t="s">
        <v>2713</v>
      </c>
      <c r="B654" s="1" t="s">
        <v>2714</v>
      </c>
      <c r="C654" s="2">
        <v>2005</v>
      </c>
      <c r="D654" s="1" t="s">
        <v>81</v>
      </c>
      <c r="E654" s="2">
        <v>0</v>
      </c>
      <c r="F654" s="1"/>
      <c r="G654" s="1" t="s">
        <v>2715</v>
      </c>
      <c r="H654" s="2">
        <v>800</v>
      </c>
      <c r="I654" s="2">
        <v>0</v>
      </c>
      <c r="J654" s="1" t="s">
        <v>2716</v>
      </c>
      <c r="K654" s="1" t="s">
        <v>28</v>
      </c>
      <c r="L654" s="1" t="s">
        <v>51</v>
      </c>
      <c r="M654" s="1" t="s">
        <v>52</v>
      </c>
      <c r="N654" s="1" t="s">
        <v>53</v>
      </c>
      <c r="O654" s="1" t="s">
        <v>28</v>
      </c>
      <c r="P654" s="1" t="s">
        <v>45</v>
      </c>
      <c r="Q654" s="1" t="s">
        <v>53</v>
      </c>
      <c r="R654" s="1" t="s">
        <v>105</v>
      </c>
      <c r="S654" s="1" t="s">
        <v>71</v>
      </c>
      <c r="T654" s="3" t="str">
        <f>Sheet4!H654</f>
        <v xml:space="preserve"> View Map </v>
      </c>
    </row>
    <row r="655" spans="1:20" ht="15" x14ac:dyDescent="0.25">
      <c r="A655" s="1" t="s">
        <v>2717</v>
      </c>
      <c r="B655" s="1" t="s">
        <v>2718</v>
      </c>
      <c r="C655" s="2">
        <v>2024</v>
      </c>
      <c r="D655" s="1" t="s">
        <v>24</v>
      </c>
      <c r="E655" s="2">
        <v>1</v>
      </c>
      <c r="F655" s="1" t="s">
        <v>2660</v>
      </c>
      <c r="G655" s="1" t="s">
        <v>2718</v>
      </c>
      <c r="H655" s="2">
        <v>100</v>
      </c>
      <c r="I655" s="2">
        <v>65000</v>
      </c>
      <c r="J655" s="1" t="s">
        <v>2719</v>
      </c>
      <c r="K655" s="2">
        <v>65000</v>
      </c>
      <c r="L655" s="1" t="s">
        <v>68</v>
      </c>
      <c r="M655" s="1" t="s">
        <v>69</v>
      </c>
      <c r="N655" s="1" t="s">
        <v>275</v>
      </c>
      <c r="O655" s="1" t="s">
        <v>354</v>
      </c>
      <c r="P655" s="1" t="s">
        <v>275</v>
      </c>
      <c r="Q655" s="1" t="s">
        <v>348</v>
      </c>
      <c r="R655" s="1" t="s">
        <v>275</v>
      </c>
      <c r="S655" s="1" t="s">
        <v>71</v>
      </c>
      <c r="T655" s="3" t="str">
        <f>Sheet4!H655</f>
        <v xml:space="preserve"> View Map </v>
      </c>
    </row>
    <row r="656" spans="1:20" ht="15" x14ac:dyDescent="0.25">
      <c r="A656" s="1" t="s">
        <v>2720</v>
      </c>
      <c r="B656" s="1" t="s">
        <v>2721</v>
      </c>
      <c r="C656" s="2">
        <v>2005</v>
      </c>
      <c r="D656" s="1" t="s">
        <v>24</v>
      </c>
      <c r="E656" s="2">
        <v>0</v>
      </c>
      <c r="F656" s="1"/>
      <c r="G656" s="1" t="s">
        <v>1112</v>
      </c>
      <c r="H656" s="2">
        <v>1000</v>
      </c>
      <c r="I656" s="2">
        <v>0</v>
      </c>
      <c r="J656" s="1"/>
      <c r="K656" s="1" t="s">
        <v>28</v>
      </c>
      <c r="L656" s="1" t="s">
        <v>51</v>
      </c>
      <c r="M656" s="1" t="s">
        <v>52</v>
      </c>
      <c r="N656" s="1" t="s">
        <v>20</v>
      </c>
      <c r="O656" s="1" t="s">
        <v>28</v>
      </c>
      <c r="P656" s="1" t="s">
        <v>45</v>
      </c>
      <c r="Q656" s="1" t="s">
        <v>53</v>
      </c>
      <c r="R656" s="1" t="s">
        <v>105</v>
      </c>
      <c r="S656" s="1" t="s">
        <v>71</v>
      </c>
      <c r="T656" s="3" t="str">
        <f>Sheet4!H656</f>
        <v xml:space="preserve"> View Map </v>
      </c>
    </row>
    <row r="657" spans="1:20" ht="15" x14ac:dyDescent="0.25">
      <c r="A657" s="1" t="s">
        <v>2722</v>
      </c>
      <c r="B657" s="1" t="s">
        <v>2723</v>
      </c>
      <c r="C657" s="2">
        <v>2005</v>
      </c>
      <c r="D657" s="1" t="s">
        <v>24</v>
      </c>
      <c r="E657" s="2">
        <v>0</v>
      </c>
      <c r="F657" s="1"/>
      <c r="G657" s="1" t="s">
        <v>2723</v>
      </c>
      <c r="H657" s="2">
        <v>36</v>
      </c>
      <c r="I657" s="2">
        <v>0</v>
      </c>
      <c r="J657" s="1" t="s">
        <v>2724</v>
      </c>
      <c r="K657" s="1" t="s">
        <v>28</v>
      </c>
      <c r="L657" s="1" t="s">
        <v>68</v>
      </c>
      <c r="M657" s="1" t="s">
        <v>69</v>
      </c>
      <c r="N657" s="1" t="s">
        <v>275</v>
      </c>
      <c r="O657" s="1" t="s">
        <v>1060</v>
      </c>
      <c r="P657" s="1" t="s">
        <v>275</v>
      </c>
      <c r="Q657" s="1" t="s">
        <v>275</v>
      </c>
      <c r="R657" s="1" t="s">
        <v>275</v>
      </c>
      <c r="S657" s="1" t="s">
        <v>71</v>
      </c>
      <c r="T657" s="3" t="str">
        <f>Sheet4!H657</f>
        <v xml:space="preserve"> View Map </v>
      </c>
    </row>
    <row r="658" spans="1:20" ht="15" x14ac:dyDescent="0.25">
      <c r="A658" s="1" t="s">
        <v>2725</v>
      </c>
      <c r="B658" s="1" t="s">
        <v>2726</v>
      </c>
      <c r="C658" s="2">
        <v>2020</v>
      </c>
      <c r="D658" s="1" t="s">
        <v>24</v>
      </c>
      <c r="E658" s="2">
        <v>1</v>
      </c>
      <c r="F658" s="1" t="s">
        <v>2727</v>
      </c>
      <c r="G658" s="1" t="s">
        <v>2728</v>
      </c>
      <c r="H658" s="2">
        <v>110</v>
      </c>
      <c r="I658" s="2">
        <v>100000</v>
      </c>
      <c r="J658" s="1" t="s">
        <v>2729</v>
      </c>
      <c r="K658" s="2">
        <v>100000</v>
      </c>
      <c r="L658" s="1" t="s">
        <v>68</v>
      </c>
      <c r="M658" s="1" t="s">
        <v>69</v>
      </c>
      <c r="N658" s="1" t="s">
        <v>162</v>
      </c>
      <c r="O658" s="1" t="s">
        <v>374</v>
      </c>
      <c r="P658" s="1" t="s">
        <v>162</v>
      </c>
      <c r="Q658" s="1" t="s">
        <v>162</v>
      </c>
      <c r="R658" s="1" t="s">
        <v>162</v>
      </c>
      <c r="S658" s="1" t="s">
        <v>71</v>
      </c>
      <c r="T658" s="3" t="str">
        <f>Sheet4!H658</f>
        <v xml:space="preserve"> View Map </v>
      </c>
    </row>
    <row r="659" spans="1:20" ht="15" x14ac:dyDescent="0.25">
      <c r="A659" s="1" t="s">
        <v>2730</v>
      </c>
      <c r="B659" s="1" t="s">
        <v>2731</v>
      </c>
      <c r="C659" s="2">
        <v>2016</v>
      </c>
      <c r="D659" s="1" t="s">
        <v>24</v>
      </c>
      <c r="E659" s="2">
        <v>1</v>
      </c>
      <c r="F659" s="1" t="s">
        <v>2732</v>
      </c>
      <c r="G659" s="1" t="s">
        <v>2733</v>
      </c>
      <c r="H659" s="2">
        <v>0</v>
      </c>
      <c r="I659" s="2">
        <v>36000</v>
      </c>
      <c r="J659" s="1" t="s">
        <v>2734</v>
      </c>
      <c r="K659" s="2">
        <v>36000</v>
      </c>
      <c r="L659" s="1" t="s">
        <v>68</v>
      </c>
      <c r="M659" s="1" t="s">
        <v>69</v>
      </c>
      <c r="N659" s="1" t="s">
        <v>275</v>
      </c>
      <c r="O659" s="1" t="s">
        <v>354</v>
      </c>
      <c r="P659" s="1" t="s">
        <v>275</v>
      </c>
      <c r="Q659" s="1" t="s">
        <v>348</v>
      </c>
      <c r="R659" s="1" t="s">
        <v>275</v>
      </c>
      <c r="S659" s="1" t="s">
        <v>71</v>
      </c>
      <c r="T659" s="3" t="str">
        <f>Sheet4!H659</f>
        <v xml:space="preserve"> View Map </v>
      </c>
    </row>
    <row r="660" spans="1:20" ht="15" x14ac:dyDescent="0.25">
      <c r="A660" s="1" t="s">
        <v>2735</v>
      </c>
      <c r="B660" s="1" t="s">
        <v>2736</v>
      </c>
      <c r="C660" s="2">
        <v>2005</v>
      </c>
      <c r="D660" s="1" t="s">
        <v>24</v>
      </c>
      <c r="E660" s="2">
        <v>0</v>
      </c>
      <c r="F660" s="1" t="s">
        <v>1568</v>
      </c>
      <c r="G660" s="1" t="s">
        <v>2737</v>
      </c>
      <c r="H660" s="2">
        <v>100</v>
      </c>
      <c r="I660" s="2">
        <v>0</v>
      </c>
      <c r="J660" s="1" t="s">
        <v>2738</v>
      </c>
      <c r="K660" s="1" t="s">
        <v>28</v>
      </c>
      <c r="L660" s="1" t="s">
        <v>68</v>
      </c>
      <c r="M660" s="1" t="s">
        <v>69</v>
      </c>
      <c r="N660" s="1" t="s">
        <v>162</v>
      </c>
      <c r="O660" s="1" t="s">
        <v>1568</v>
      </c>
      <c r="P660" s="1" t="s">
        <v>162</v>
      </c>
      <c r="Q660" s="1" t="s">
        <v>162</v>
      </c>
      <c r="R660" s="1" t="s">
        <v>162</v>
      </c>
      <c r="S660" s="1" t="s">
        <v>71</v>
      </c>
      <c r="T660" s="3" t="str">
        <f>Sheet4!H660</f>
        <v xml:space="preserve"> View Map </v>
      </c>
    </row>
    <row r="661" spans="1:20" ht="15" x14ac:dyDescent="0.25">
      <c r="A661" s="1" t="s">
        <v>2739</v>
      </c>
      <c r="B661" s="1" t="s">
        <v>2740</v>
      </c>
      <c r="C661" s="2">
        <v>2005</v>
      </c>
      <c r="D661" s="1" t="s">
        <v>24</v>
      </c>
      <c r="E661" s="2">
        <v>0</v>
      </c>
      <c r="F661" s="1"/>
      <c r="G661" s="1" t="s">
        <v>2741</v>
      </c>
      <c r="H661" s="2">
        <v>0</v>
      </c>
      <c r="I661" s="2">
        <v>0</v>
      </c>
      <c r="J661" s="1" t="s">
        <v>2742</v>
      </c>
      <c r="K661" s="1" t="s">
        <v>28</v>
      </c>
      <c r="L661" s="1" t="s">
        <v>68</v>
      </c>
      <c r="M661" s="1" t="s">
        <v>69</v>
      </c>
      <c r="N661" s="1" t="s">
        <v>275</v>
      </c>
      <c r="O661" s="1" t="s">
        <v>2441</v>
      </c>
      <c r="P661" s="1" t="s">
        <v>275</v>
      </c>
      <c r="Q661" s="1" t="s">
        <v>2132</v>
      </c>
      <c r="R661" s="1" t="s">
        <v>275</v>
      </c>
      <c r="S661" s="1" t="s">
        <v>71</v>
      </c>
      <c r="T661" s="3" t="str">
        <f>Sheet4!H661</f>
        <v xml:space="preserve"> View Map </v>
      </c>
    </row>
    <row r="662" spans="1:20" ht="15" x14ac:dyDescent="0.25">
      <c r="A662" s="1" t="s">
        <v>2743</v>
      </c>
      <c r="B662" s="1" t="s">
        <v>2744</v>
      </c>
      <c r="C662" s="2">
        <v>2012</v>
      </c>
      <c r="D662" s="1" t="s">
        <v>24</v>
      </c>
      <c r="E662" s="2">
        <v>1</v>
      </c>
      <c r="F662" s="1" t="s">
        <v>2745</v>
      </c>
      <c r="G662" s="1"/>
      <c r="H662" s="2">
        <v>0</v>
      </c>
      <c r="I662" s="2">
        <v>50000</v>
      </c>
      <c r="J662" s="1" t="s">
        <v>2746</v>
      </c>
      <c r="K662" s="2">
        <v>50000</v>
      </c>
      <c r="L662" s="1" t="s">
        <v>68</v>
      </c>
      <c r="M662" s="1" t="s">
        <v>69</v>
      </c>
      <c r="N662" s="1" t="s">
        <v>275</v>
      </c>
      <c r="O662" s="1" t="s">
        <v>2441</v>
      </c>
      <c r="P662" s="1" t="s">
        <v>275</v>
      </c>
      <c r="Q662" s="1" t="s">
        <v>2132</v>
      </c>
      <c r="R662" s="1" t="s">
        <v>275</v>
      </c>
      <c r="S662" s="1" t="s">
        <v>71</v>
      </c>
      <c r="T662" s="3" t="str">
        <f>Sheet4!H662</f>
        <v xml:space="preserve"> View Map </v>
      </c>
    </row>
    <row r="663" spans="1:20" ht="15" x14ac:dyDescent="0.25">
      <c r="A663" s="1" t="s">
        <v>2747</v>
      </c>
      <c r="B663" s="1" t="s">
        <v>2748</v>
      </c>
      <c r="C663" s="2">
        <v>2026</v>
      </c>
      <c r="D663" s="1" t="s">
        <v>24</v>
      </c>
      <c r="E663" s="2">
        <v>1</v>
      </c>
      <c r="F663" s="1" t="s">
        <v>1419</v>
      </c>
      <c r="G663" s="1" t="s">
        <v>2749</v>
      </c>
      <c r="H663" s="2">
        <v>500</v>
      </c>
      <c r="I663" s="2">
        <v>45000</v>
      </c>
      <c r="J663" s="1" t="s">
        <v>2750</v>
      </c>
      <c r="K663" s="2">
        <v>45000</v>
      </c>
      <c r="L663" s="1" t="s">
        <v>68</v>
      </c>
      <c r="M663" s="1" t="s">
        <v>69</v>
      </c>
      <c r="N663" s="1" t="s">
        <v>162</v>
      </c>
      <c r="O663" s="1" t="s">
        <v>374</v>
      </c>
      <c r="P663" s="1" t="s">
        <v>162</v>
      </c>
      <c r="Q663" s="1" t="s">
        <v>162</v>
      </c>
      <c r="R663" s="1" t="s">
        <v>162</v>
      </c>
      <c r="S663" s="1" t="s">
        <v>71</v>
      </c>
      <c r="T663" s="3" t="str">
        <f>Sheet4!H663</f>
        <v xml:space="preserve"> View Map </v>
      </c>
    </row>
    <row r="664" spans="1:20" ht="15" x14ac:dyDescent="0.25">
      <c r="A664" s="1" t="s">
        <v>2751</v>
      </c>
      <c r="B664" s="1" t="s">
        <v>2752</v>
      </c>
      <c r="C664" s="2">
        <v>2024</v>
      </c>
      <c r="D664" s="1" t="s">
        <v>24</v>
      </c>
      <c r="E664" s="2">
        <v>1</v>
      </c>
      <c r="F664" s="1" t="s">
        <v>1825</v>
      </c>
      <c r="G664" s="1" t="s">
        <v>1825</v>
      </c>
      <c r="H664" s="2">
        <v>150</v>
      </c>
      <c r="I664" s="2">
        <v>52000</v>
      </c>
      <c r="J664" s="1" t="s">
        <v>2753</v>
      </c>
      <c r="K664" s="2">
        <v>52000</v>
      </c>
      <c r="L664" s="1" t="s">
        <v>68</v>
      </c>
      <c r="M664" s="1" t="s">
        <v>69</v>
      </c>
      <c r="N664" s="1" t="s">
        <v>275</v>
      </c>
      <c r="O664" s="1" t="s">
        <v>1077</v>
      </c>
      <c r="P664" s="1" t="s">
        <v>304</v>
      </c>
      <c r="Q664" s="1" t="s">
        <v>386</v>
      </c>
      <c r="R664" s="1" t="s">
        <v>275</v>
      </c>
      <c r="S664" s="1" t="s">
        <v>71</v>
      </c>
      <c r="T664" s="3" t="str">
        <f>Sheet4!H664</f>
        <v xml:space="preserve"> View Map </v>
      </c>
    </row>
    <row r="665" spans="1:20" ht="15" x14ac:dyDescent="0.25">
      <c r="A665" s="1" t="s">
        <v>2754</v>
      </c>
      <c r="B665" s="1" t="s">
        <v>2755</v>
      </c>
      <c r="C665" s="2">
        <v>2025</v>
      </c>
      <c r="D665" s="1" t="s">
        <v>24</v>
      </c>
      <c r="E665" s="2">
        <v>1</v>
      </c>
      <c r="F665" s="1" t="s">
        <v>2756</v>
      </c>
      <c r="G665" s="1" t="s">
        <v>2756</v>
      </c>
      <c r="H665" s="2">
        <v>150</v>
      </c>
      <c r="I665" s="2">
        <v>45000</v>
      </c>
      <c r="J665" s="1" t="s">
        <v>2757</v>
      </c>
      <c r="K665" s="2">
        <v>45000</v>
      </c>
      <c r="L665" s="1" t="s">
        <v>68</v>
      </c>
      <c r="M665" s="1" t="s">
        <v>69</v>
      </c>
      <c r="N665" s="1" t="s">
        <v>309</v>
      </c>
      <c r="O665" s="1" t="s">
        <v>2332</v>
      </c>
      <c r="P665" s="1" t="s">
        <v>304</v>
      </c>
      <c r="Q665" s="1" t="s">
        <v>305</v>
      </c>
      <c r="R665" s="1" t="s">
        <v>309</v>
      </c>
      <c r="S665" s="1" t="s">
        <v>71</v>
      </c>
      <c r="T665" s="3" t="str">
        <f>Sheet4!H665</f>
        <v xml:space="preserve"> View Map </v>
      </c>
    </row>
    <row r="666" spans="1:20" ht="15" x14ac:dyDescent="0.25">
      <c r="A666" s="1" t="s">
        <v>2758</v>
      </c>
      <c r="B666" s="1" t="s">
        <v>1339</v>
      </c>
      <c r="C666" s="2">
        <v>1991</v>
      </c>
      <c r="D666" s="1" t="s">
        <v>24</v>
      </c>
      <c r="E666" s="2">
        <v>1</v>
      </c>
      <c r="F666" s="1" t="s">
        <v>2254</v>
      </c>
      <c r="G666" s="1" t="s">
        <v>2254</v>
      </c>
      <c r="H666" s="2">
        <v>1500</v>
      </c>
      <c r="I666" s="2">
        <v>50000</v>
      </c>
      <c r="J666" s="1" t="s">
        <v>2759</v>
      </c>
      <c r="K666" s="2">
        <v>50000</v>
      </c>
      <c r="L666" s="1" t="s">
        <v>68</v>
      </c>
      <c r="M666" s="1" t="s">
        <v>69</v>
      </c>
      <c r="N666" s="1" t="s">
        <v>275</v>
      </c>
      <c r="O666" s="1" t="s">
        <v>391</v>
      </c>
      <c r="P666" s="1" t="s">
        <v>304</v>
      </c>
      <c r="Q666" s="1" t="s">
        <v>386</v>
      </c>
      <c r="R666" s="1" t="s">
        <v>275</v>
      </c>
      <c r="S666" s="1" t="s">
        <v>71</v>
      </c>
      <c r="T666" s="3" t="str">
        <f>Sheet4!H666</f>
        <v xml:space="preserve"> View Map </v>
      </c>
    </row>
    <row r="667" spans="1:20" ht="15" x14ac:dyDescent="0.25">
      <c r="A667" s="1" t="s">
        <v>2760</v>
      </c>
      <c r="B667" s="1" t="s">
        <v>2761</v>
      </c>
      <c r="C667" s="2">
        <v>2024</v>
      </c>
      <c r="D667" s="1" t="s">
        <v>24</v>
      </c>
      <c r="E667" s="2">
        <v>1</v>
      </c>
      <c r="F667" s="1" t="s">
        <v>2762</v>
      </c>
      <c r="G667" s="1" t="s">
        <v>2159</v>
      </c>
      <c r="H667" s="2">
        <v>110</v>
      </c>
      <c r="I667" s="2">
        <v>28500</v>
      </c>
      <c r="J667" s="1" t="s">
        <v>2763</v>
      </c>
      <c r="K667" s="2">
        <v>28500</v>
      </c>
      <c r="L667" s="1" t="s">
        <v>68</v>
      </c>
      <c r="M667" s="1" t="s">
        <v>69</v>
      </c>
      <c r="N667" s="1" t="s">
        <v>275</v>
      </c>
      <c r="O667" s="1" t="s">
        <v>354</v>
      </c>
      <c r="P667" s="1" t="s">
        <v>275</v>
      </c>
      <c r="Q667" s="1" t="s">
        <v>348</v>
      </c>
      <c r="R667" s="1" t="s">
        <v>275</v>
      </c>
      <c r="S667" s="1" t="s">
        <v>71</v>
      </c>
      <c r="T667" s="3" t="str">
        <f>Sheet4!H667</f>
        <v xml:space="preserve"> View Map </v>
      </c>
    </row>
    <row r="668" spans="1:20" ht="15" x14ac:dyDescent="0.25">
      <c r="A668" s="1" t="s">
        <v>2764</v>
      </c>
      <c r="B668" s="1" t="s">
        <v>2765</v>
      </c>
      <c r="C668" s="2">
        <v>2014</v>
      </c>
      <c r="D668" s="1" t="s">
        <v>24</v>
      </c>
      <c r="E668" s="2">
        <v>1</v>
      </c>
      <c r="F668" s="1" t="s">
        <v>2766</v>
      </c>
      <c r="G668" s="1" t="s">
        <v>2767</v>
      </c>
      <c r="H668" s="2">
        <v>125</v>
      </c>
      <c r="I668" s="2">
        <v>37625</v>
      </c>
      <c r="J668" s="1" t="s">
        <v>1993</v>
      </c>
      <c r="K668" s="2">
        <v>37625</v>
      </c>
      <c r="L668" s="1" t="s">
        <v>68</v>
      </c>
      <c r="M668" s="1" t="s">
        <v>69</v>
      </c>
      <c r="N668" s="1" t="s">
        <v>72</v>
      </c>
      <c r="O668" s="1" t="s">
        <v>644</v>
      </c>
      <c r="P668" s="1" t="s">
        <v>72</v>
      </c>
      <c r="Q668" s="1" t="s">
        <v>811</v>
      </c>
      <c r="R668" s="1" t="s">
        <v>275</v>
      </c>
      <c r="S668" s="1" t="s">
        <v>71</v>
      </c>
      <c r="T668" s="3" t="str">
        <f>Sheet4!H668</f>
        <v xml:space="preserve"> View Map </v>
      </c>
    </row>
    <row r="669" spans="1:20" ht="15" x14ac:dyDescent="0.25">
      <c r="A669" s="1" t="s">
        <v>2768</v>
      </c>
      <c r="B669" s="1" t="s">
        <v>2769</v>
      </c>
      <c r="C669" s="2">
        <v>2005</v>
      </c>
      <c r="D669" s="1" t="s">
        <v>24</v>
      </c>
      <c r="E669" s="2">
        <v>0</v>
      </c>
      <c r="F669" s="1" t="s">
        <v>114</v>
      </c>
      <c r="G669" s="1" t="s">
        <v>114</v>
      </c>
      <c r="H669" s="2">
        <v>1200</v>
      </c>
      <c r="I669" s="2">
        <v>0</v>
      </c>
      <c r="J669" s="1" t="s">
        <v>2770</v>
      </c>
      <c r="K669" s="1" t="s">
        <v>28</v>
      </c>
      <c r="L669" s="1" t="s">
        <v>68</v>
      </c>
      <c r="M669" s="1" t="s">
        <v>69</v>
      </c>
      <c r="N669" s="1" t="s">
        <v>72</v>
      </c>
      <c r="O669" s="1" t="s">
        <v>78</v>
      </c>
      <c r="P669" s="1" t="s">
        <v>72</v>
      </c>
      <c r="Q669" s="1" t="s">
        <v>73</v>
      </c>
      <c r="R669" s="1" t="s">
        <v>73</v>
      </c>
      <c r="S669" s="1" t="s">
        <v>71</v>
      </c>
      <c r="T669" s="3" t="str">
        <f>Sheet4!H669</f>
        <v xml:space="preserve"> View Map </v>
      </c>
    </row>
    <row r="670" spans="1:20" ht="15" x14ac:dyDescent="0.25">
      <c r="A670" s="1" t="s">
        <v>2771</v>
      </c>
      <c r="B670" s="1" t="s">
        <v>2772</v>
      </c>
      <c r="C670" s="2">
        <v>2025</v>
      </c>
      <c r="D670" s="1" t="s">
        <v>24</v>
      </c>
      <c r="E670" s="2">
        <v>1</v>
      </c>
      <c r="F670" s="1" t="s">
        <v>2773</v>
      </c>
      <c r="G670" s="1" t="s">
        <v>854</v>
      </c>
      <c r="H670" s="2">
        <v>0</v>
      </c>
      <c r="I670" s="2">
        <v>10000</v>
      </c>
      <c r="J670" s="1" t="s">
        <v>2774</v>
      </c>
      <c r="K670" s="2">
        <v>10000</v>
      </c>
      <c r="L670" s="1" t="s">
        <v>68</v>
      </c>
      <c r="M670" s="1" t="s">
        <v>69</v>
      </c>
      <c r="N670" s="1" t="s">
        <v>275</v>
      </c>
      <c r="O670" s="1" t="s">
        <v>297</v>
      </c>
      <c r="P670" s="1" t="s">
        <v>275</v>
      </c>
      <c r="Q670" s="1" t="s">
        <v>276</v>
      </c>
      <c r="R670" s="1" t="s">
        <v>275</v>
      </c>
      <c r="S670" s="1" t="s">
        <v>71</v>
      </c>
      <c r="T670" s="3" t="str">
        <f>Sheet4!H670</f>
        <v xml:space="preserve"> View Map </v>
      </c>
    </row>
    <row r="671" spans="1:20" ht="15" x14ac:dyDescent="0.25">
      <c r="A671" s="1" t="s">
        <v>2775</v>
      </c>
      <c r="B671" s="1" t="s">
        <v>2776</v>
      </c>
      <c r="C671" s="2">
        <v>2005</v>
      </c>
      <c r="D671" s="1" t="s">
        <v>24</v>
      </c>
      <c r="E671" s="2">
        <v>0</v>
      </c>
      <c r="F671" s="1" t="s">
        <v>2777</v>
      </c>
      <c r="G671" s="1" t="s">
        <v>2777</v>
      </c>
      <c r="H671" s="2">
        <v>8</v>
      </c>
      <c r="I671" s="2">
        <v>12000</v>
      </c>
      <c r="J671" s="1" t="s">
        <v>2778</v>
      </c>
      <c r="K671" s="1" t="s">
        <v>28</v>
      </c>
      <c r="L671" s="1" t="s">
        <v>68</v>
      </c>
      <c r="M671" s="1" t="s">
        <v>69</v>
      </c>
      <c r="N671" s="1" t="s">
        <v>275</v>
      </c>
      <c r="O671" s="1" t="s">
        <v>2779</v>
      </c>
      <c r="P671" s="1" t="s">
        <v>275</v>
      </c>
      <c r="Q671" s="1" t="s">
        <v>275</v>
      </c>
      <c r="R671" s="1" t="s">
        <v>275</v>
      </c>
      <c r="S671" s="1" t="s">
        <v>71</v>
      </c>
      <c r="T671" s="3" t="str">
        <f>Sheet4!H671</f>
        <v xml:space="preserve"> View Map </v>
      </c>
    </row>
    <row r="672" spans="1:20" ht="15" x14ac:dyDescent="0.25">
      <c r="A672" s="1" t="s">
        <v>2780</v>
      </c>
      <c r="B672" s="1" t="s">
        <v>2781</v>
      </c>
      <c r="C672" s="2">
        <v>1992</v>
      </c>
      <c r="D672" s="1" t="s">
        <v>24</v>
      </c>
      <c r="E672" s="2">
        <v>1</v>
      </c>
      <c r="F672" s="1" t="s">
        <v>2782</v>
      </c>
      <c r="G672" s="1" t="s">
        <v>2782</v>
      </c>
      <c r="H672" s="2">
        <v>500</v>
      </c>
      <c r="I672" s="2">
        <v>40000</v>
      </c>
      <c r="J672" s="1" t="s">
        <v>2783</v>
      </c>
      <c r="K672" s="2">
        <v>35000</v>
      </c>
      <c r="L672" s="1" t="s">
        <v>68</v>
      </c>
      <c r="M672" s="1" t="s">
        <v>69</v>
      </c>
      <c r="N672" s="1" t="s">
        <v>72</v>
      </c>
      <c r="O672" s="1" t="s">
        <v>598</v>
      </c>
      <c r="P672" s="1" t="s">
        <v>72</v>
      </c>
      <c r="Q672" s="1" t="s">
        <v>593</v>
      </c>
      <c r="R672" s="1" t="s">
        <v>72</v>
      </c>
      <c r="S672" s="1" t="s">
        <v>71</v>
      </c>
      <c r="T672" s="3" t="str">
        <f>Sheet4!H672</f>
        <v xml:space="preserve"> View Map </v>
      </c>
    </row>
    <row r="673" spans="1:20" ht="15" x14ac:dyDescent="0.25">
      <c r="A673" s="1" t="s">
        <v>2784</v>
      </c>
      <c r="B673" s="1" t="s">
        <v>2785</v>
      </c>
      <c r="C673" s="2">
        <v>2024</v>
      </c>
      <c r="D673" s="1" t="s">
        <v>24</v>
      </c>
      <c r="E673" s="2">
        <v>1</v>
      </c>
      <c r="F673" s="1" t="s">
        <v>2786</v>
      </c>
      <c r="G673" s="1" t="s">
        <v>398</v>
      </c>
      <c r="H673" s="2">
        <v>300</v>
      </c>
      <c r="I673" s="2">
        <v>58500</v>
      </c>
      <c r="J673" s="1" t="s">
        <v>2787</v>
      </c>
      <c r="K673" s="2">
        <v>58500</v>
      </c>
      <c r="L673" s="1" t="s">
        <v>68</v>
      </c>
      <c r="M673" s="1" t="s">
        <v>69</v>
      </c>
      <c r="N673" s="1" t="s">
        <v>72</v>
      </c>
      <c r="O673" s="1" t="s">
        <v>78</v>
      </c>
      <c r="P673" s="1" t="s">
        <v>72</v>
      </c>
      <c r="Q673" s="1" t="s">
        <v>2047</v>
      </c>
      <c r="R673" s="1" t="s">
        <v>73</v>
      </c>
      <c r="S673" s="1" t="s">
        <v>71</v>
      </c>
      <c r="T673" s="3" t="str">
        <f>Sheet4!H673</f>
        <v xml:space="preserve"> View Map </v>
      </c>
    </row>
    <row r="674" spans="1:20" ht="15" x14ac:dyDescent="0.25">
      <c r="A674" s="1" t="s">
        <v>2788</v>
      </c>
      <c r="B674" s="1" t="s">
        <v>2789</v>
      </c>
      <c r="C674" s="2">
        <v>1991</v>
      </c>
      <c r="D674" s="1" t="s">
        <v>24</v>
      </c>
      <c r="E674" s="2">
        <v>1</v>
      </c>
      <c r="F674" s="1" t="s">
        <v>2790</v>
      </c>
      <c r="G674" s="1" t="s">
        <v>2790</v>
      </c>
      <c r="H674" s="2">
        <v>80</v>
      </c>
      <c r="I674" s="2">
        <v>10000</v>
      </c>
      <c r="J674" s="1" t="s">
        <v>2791</v>
      </c>
      <c r="K674" s="1" t="s">
        <v>28</v>
      </c>
      <c r="L674" s="1" t="s">
        <v>68</v>
      </c>
      <c r="M674" s="1" t="s">
        <v>69</v>
      </c>
      <c r="N674" s="1" t="s">
        <v>72</v>
      </c>
      <c r="O674" s="1" t="s">
        <v>2038</v>
      </c>
      <c r="P674" s="1" t="s">
        <v>72</v>
      </c>
      <c r="Q674" s="1" t="s">
        <v>811</v>
      </c>
      <c r="R674" s="1" t="s">
        <v>72</v>
      </c>
      <c r="S674" s="1" t="s">
        <v>71</v>
      </c>
      <c r="T674" s="3" t="str">
        <f>Sheet4!H674</f>
        <v xml:space="preserve"> View Map </v>
      </c>
    </row>
    <row r="675" spans="1:20" ht="15" x14ac:dyDescent="0.25">
      <c r="A675" s="1" t="s">
        <v>2792</v>
      </c>
      <c r="B675" s="1" t="s">
        <v>2793</v>
      </c>
      <c r="C675" s="2">
        <v>2022</v>
      </c>
      <c r="D675" s="1" t="s">
        <v>24</v>
      </c>
      <c r="E675" s="2">
        <v>1</v>
      </c>
      <c r="F675" s="1" t="s">
        <v>2794</v>
      </c>
      <c r="G675" s="1" t="s">
        <v>2795</v>
      </c>
      <c r="H675" s="2">
        <v>15</v>
      </c>
      <c r="I675" s="2">
        <v>30000</v>
      </c>
      <c r="J675" s="1" t="s">
        <v>2796</v>
      </c>
      <c r="K675" s="1" t="s">
        <v>28</v>
      </c>
      <c r="L675" s="1" t="s">
        <v>68</v>
      </c>
      <c r="M675" s="1" t="s">
        <v>69</v>
      </c>
      <c r="N675" s="1" t="s">
        <v>275</v>
      </c>
      <c r="O675" s="1" t="s">
        <v>1833</v>
      </c>
      <c r="P675" s="1" t="s">
        <v>275</v>
      </c>
      <c r="Q675" s="1" t="s">
        <v>275</v>
      </c>
      <c r="R675" s="1" t="s">
        <v>275</v>
      </c>
      <c r="S675" s="1" t="s">
        <v>71</v>
      </c>
      <c r="T675" s="3" t="str">
        <f>Sheet4!H675</f>
        <v xml:space="preserve"> View Map </v>
      </c>
    </row>
    <row r="676" spans="1:20" ht="15" x14ac:dyDescent="0.25">
      <c r="A676" s="1" t="s">
        <v>2797</v>
      </c>
      <c r="B676" s="1" t="s">
        <v>2798</v>
      </c>
      <c r="C676" s="2">
        <v>2024</v>
      </c>
      <c r="D676" s="1" t="s">
        <v>24</v>
      </c>
      <c r="E676" s="2">
        <v>1</v>
      </c>
      <c r="F676" s="1" t="s">
        <v>1054</v>
      </c>
      <c r="G676" s="1" t="s">
        <v>1054</v>
      </c>
      <c r="H676" s="2">
        <v>100</v>
      </c>
      <c r="I676" s="2">
        <v>35000</v>
      </c>
      <c r="J676" s="1" t="s">
        <v>2799</v>
      </c>
      <c r="K676" s="2">
        <v>35000</v>
      </c>
      <c r="L676" s="1" t="s">
        <v>68</v>
      </c>
      <c r="M676" s="1" t="s">
        <v>69</v>
      </c>
      <c r="N676" s="1" t="s">
        <v>72</v>
      </c>
      <c r="O676" s="1" t="s">
        <v>644</v>
      </c>
      <c r="P676" s="1" t="s">
        <v>72</v>
      </c>
      <c r="Q676" s="1" t="s">
        <v>811</v>
      </c>
      <c r="R676" s="1" t="s">
        <v>72</v>
      </c>
      <c r="S676" s="1" t="s">
        <v>71</v>
      </c>
      <c r="T676" s="3" t="str">
        <f>Sheet4!H676</f>
        <v xml:space="preserve"> View Map </v>
      </c>
    </row>
    <row r="677" spans="1:20" ht="15" x14ac:dyDescent="0.25">
      <c r="A677" s="1" t="s">
        <v>2800</v>
      </c>
      <c r="B677" s="1" t="s">
        <v>2801</v>
      </c>
      <c r="C677" s="2">
        <v>2005</v>
      </c>
      <c r="D677" s="1" t="s">
        <v>81</v>
      </c>
      <c r="E677" s="2">
        <v>1</v>
      </c>
      <c r="F677" s="1" t="s">
        <v>2802</v>
      </c>
      <c r="G677" s="1" t="s">
        <v>2596</v>
      </c>
      <c r="H677" s="2">
        <v>285</v>
      </c>
      <c r="I677" s="2">
        <v>54500</v>
      </c>
      <c r="J677" s="1" t="s">
        <v>2803</v>
      </c>
      <c r="K677" s="2">
        <v>54500</v>
      </c>
      <c r="L677" s="1" t="s">
        <v>68</v>
      </c>
      <c r="M677" s="1" t="s">
        <v>69</v>
      </c>
      <c r="N677" s="1" t="s">
        <v>275</v>
      </c>
      <c r="O677" s="1" t="s">
        <v>1077</v>
      </c>
      <c r="P677" s="1" t="s">
        <v>304</v>
      </c>
      <c r="Q677" s="1" t="s">
        <v>386</v>
      </c>
      <c r="R677" s="1" t="s">
        <v>275</v>
      </c>
      <c r="S677" s="1" t="s">
        <v>71</v>
      </c>
      <c r="T677" s="3" t="str">
        <f>Sheet4!H677</f>
        <v xml:space="preserve"> View Map </v>
      </c>
    </row>
    <row r="678" spans="1:20" ht="15" x14ac:dyDescent="0.25">
      <c r="A678" s="1" t="s">
        <v>2804</v>
      </c>
      <c r="B678" s="1" t="s">
        <v>2805</v>
      </c>
      <c r="C678" s="2">
        <v>2023</v>
      </c>
      <c r="D678" s="1" t="s">
        <v>24</v>
      </c>
      <c r="E678" s="2">
        <v>1</v>
      </c>
      <c r="F678" s="1" t="s">
        <v>2806</v>
      </c>
      <c r="G678" s="1" t="s">
        <v>2806</v>
      </c>
      <c r="H678" s="2">
        <v>333</v>
      </c>
      <c r="I678" s="2">
        <v>40000</v>
      </c>
      <c r="J678" s="1" t="s">
        <v>2807</v>
      </c>
      <c r="K678" s="2">
        <v>40000</v>
      </c>
      <c r="L678" s="1" t="s">
        <v>68</v>
      </c>
      <c r="M678" s="1" t="s">
        <v>69</v>
      </c>
      <c r="N678" s="1" t="s">
        <v>72</v>
      </c>
      <c r="O678" s="1" t="s">
        <v>598</v>
      </c>
      <c r="P678" s="1" t="s">
        <v>72</v>
      </c>
      <c r="Q678" s="1" t="s">
        <v>2047</v>
      </c>
      <c r="R678" s="1" t="s">
        <v>73</v>
      </c>
      <c r="S678" s="1" t="s">
        <v>71</v>
      </c>
      <c r="T678" s="3" t="str">
        <f>Sheet4!H678</f>
        <v xml:space="preserve"> View Map </v>
      </c>
    </row>
    <row r="679" spans="1:20" ht="15" x14ac:dyDescent="0.25">
      <c r="A679" s="1" t="s">
        <v>2808</v>
      </c>
      <c r="B679" s="1" t="s">
        <v>2809</v>
      </c>
      <c r="C679" s="2">
        <v>2005</v>
      </c>
      <c r="D679" s="1" t="s">
        <v>24</v>
      </c>
      <c r="E679" s="2">
        <v>1</v>
      </c>
      <c r="F679" s="1" t="s">
        <v>2810</v>
      </c>
      <c r="G679" s="1"/>
      <c r="H679" s="2">
        <v>0</v>
      </c>
      <c r="I679" s="2">
        <v>37000</v>
      </c>
      <c r="J679" s="1" t="s">
        <v>2811</v>
      </c>
      <c r="K679" s="2">
        <v>37000</v>
      </c>
      <c r="L679" s="1" t="s">
        <v>68</v>
      </c>
      <c r="M679" s="1" t="s">
        <v>69</v>
      </c>
      <c r="N679" s="1" t="s">
        <v>146</v>
      </c>
      <c r="O679" s="1" t="s">
        <v>939</v>
      </c>
      <c r="P679" s="1" t="s">
        <v>45</v>
      </c>
      <c r="Q679" s="1" t="s">
        <v>146</v>
      </c>
      <c r="R679" s="1" t="s">
        <v>343</v>
      </c>
      <c r="S679" s="1" t="s">
        <v>71</v>
      </c>
      <c r="T679" s="3" t="str">
        <f>Sheet4!H679</f>
        <v xml:space="preserve"> View Map </v>
      </c>
    </row>
    <row r="680" spans="1:20" ht="15" x14ac:dyDescent="0.25">
      <c r="A680" s="1" t="s">
        <v>2812</v>
      </c>
      <c r="B680" s="1" t="s">
        <v>2813</v>
      </c>
      <c r="C680" s="2">
        <v>2016</v>
      </c>
      <c r="D680" s="1" t="s">
        <v>24</v>
      </c>
      <c r="E680" s="2">
        <v>1</v>
      </c>
      <c r="F680" s="1" t="s">
        <v>2814</v>
      </c>
      <c r="G680" s="1" t="s">
        <v>2815</v>
      </c>
      <c r="H680" s="2">
        <v>200</v>
      </c>
      <c r="I680" s="2">
        <v>104000</v>
      </c>
      <c r="J680" s="1" t="s">
        <v>2816</v>
      </c>
      <c r="K680" s="2">
        <v>104000</v>
      </c>
      <c r="L680" s="1" t="s">
        <v>68</v>
      </c>
      <c r="M680" s="1" t="s">
        <v>69</v>
      </c>
      <c r="N680" s="1" t="s">
        <v>72</v>
      </c>
      <c r="O680" s="1" t="s">
        <v>115</v>
      </c>
      <c r="P680" s="1" t="s">
        <v>72</v>
      </c>
      <c r="Q680" s="1" t="s">
        <v>639</v>
      </c>
      <c r="R680" s="1" t="s">
        <v>645</v>
      </c>
      <c r="S680" s="1" t="s">
        <v>71</v>
      </c>
      <c r="T680" s="3" t="str">
        <f>Sheet4!H680</f>
        <v xml:space="preserve"> View Map </v>
      </c>
    </row>
    <row r="681" spans="1:20" ht="15" x14ac:dyDescent="0.25">
      <c r="A681" s="1" t="s">
        <v>2817</v>
      </c>
      <c r="B681" s="1" t="s">
        <v>2818</v>
      </c>
      <c r="C681" s="2">
        <v>2016</v>
      </c>
      <c r="D681" s="1" t="s">
        <v>24</v>
      </c>
      <c r="E681" s="2">
        <v>1</v>
      </c>
      <c r="F681" s="1" t="s">
        <v>2819</v>
      </c>
      <c r="G681" s="1" t="s">
        <v>78</v>
      </c>
      <c r="H681" s="2">
        <v>300</v>
      </c>
      <c r="I681" s="2">
        <v>55000</v>
      </c>
      <c r="J681" s="1" t="s">
        <v>2820</v>
      </c>
      <c r="K681" s="2">
        <v>55000</v>
      </c>
      <c r="L681" s="1" t="s">
        <v>68</v>
      </c>
      <c r="M681" s="1" t="s">
        <v>69</v>
      </c>
      <c r="N681" s="1" t="s">
        <v>72</v>
      </c>
      <c r="O681" s="1" t="s">
        <v>78</v>
      </c>
      <c r="P681" s="1" t="s">
        <v>72</v>
      </c>
      <c r="Q681" s="1" t="s">
        <v>2047</v>
      </c>
      <c r="R681" s="1" t="s">
        <v>73</v>
      </c>
      <c r="S681" s="1" t="s">
        <v>71</v>
      </c>
      <c r="T681" s="3" t="str">
        <f>Sheet4!H681</f>
        <v xml:space="preserve"> View Map </v>
      </c>
    </row>
    <row r="682" spans="1:20" ht="15" x14ac:dyDescent="0.25">
      <c r="A682" s="1" t="s">
        <v>2821</v>
      </c>
      <c r="B682" s="1" t="s">
        <v>2822</v>
      </c>
      <c r="C682" s="2">
        <v>2024</v>
      </c>
      <c r="D682" s="1" t="s">
        <v>24</v>
      </c>
      <c r="E682" s="2">
        <v>1</v>
      </c>
      <c r="F682" s="1" t="s">
        <v>2823</v>
      </c>
      <c r="G682" s="1" t="s">
        <v>2824</v>
      </c>
      <c r="H682" s="2">
        <v>600</v>
      </c>
      <c r="I682" s="2">
        <v>26000</v>
      </c>
      <c r="J682" s="1" t="s">
        <v>2825</v>
      </c>
      <c r="K682" s="2">
        <v>26000</v>
      </c>
      <c r="L682" s="1" t="s">
        <v>68</v>
      </c>
      <c r="M682" s="1" t="s">
        <v>69</v>
      </c>
      <c r="N682" s="1" t="s">
        <v>162</v>
      </c>
      <c r="O682" s="1" t="s">
        <v>732</v>
      </c>
      <c r="P682" s="1" t="s">
        <v>72</v>
      </c>
      <c r="Q682" s="1" t="s">
        <v>355</v>
      </c>
      <c r="R682" s="1" t="s">
        <v>162</v>
      </c>
      <c r="S682" s="1" t="s">
        <v>299</v>
      </c>
      <c r="T682" s="3" t="str">
        <f>Sheet4!H682</f>
        <v xml:space="preserve"> View Map </v>
      </c>
    </row>
    <row r="683" spans="1:20" ht="15" x14ac:dyDescent="0.25">
      <c r="A683" s="1" t="s">
        <v>2826</v>
      </c>
      <c r="B683" s="1" t="s">
        <v>2827</v>
      </c>
      <c r="C683" s="2">
        <v>2024</v>
      </c>
      <c r="D683" s="1" t="s">
        <v>24</v>
      </c>
      <c r="E683" s="2">
        <v>1</v>
      </c>
      <c r="F683" s="1" t="s">
        <v>1049</v>
      </c>
      <c r="G683" s="1" t="s">
        <v>1049</v>
      </c>
      <c r="H683" s="2">
        <v>360</v>
      </c>
      <c r="I683" s="2">
        <v>18500</v>
      </c>
      <c r="J683" s="1" t="s">
        <v>2828</v>
      </c>
      <c r="K683" s="2">
        <v>18500</v>
      </c>
      <c r="L683" s="1" t="s">
        <v>68</v>
      </c>
      <c r="M683" s="1" t="s">
        <v>69</v>
      </c>
      <c r="N683" s="1" t="s">
        <v>72</v>
      </c>
      <c r="O683" s="1" t="s">
        <v>115</v>
      </c>
      <c r="P683" s="1" t="s">
        <v>72</v>
      </c>
      <c r="Q683" s="1" t="s">
        <v>2047</v>
      </c>
      <c r="R683" s="1" t="s">
        <v>645</v>
      </c>
      <c r="S683" s="1" t="s">
        <v>299</v>
      </c>
      <c r="T683" s="3" t="str">
        <f>Sheet4!H683</f>
        <v xml:space="preserve"> View Map </v>
      </c>
    </row>
    <row r="684" spans="1:20" ht="15" x14ac:dyDescent="0.25">
      <c r="A684" s="1" t="s">
        <v>2829</v>
      </c>
      <c r="B684" s="1" t="s">
        <v>2830</v>
      </c>
      <c r="C684" s="2">
        <v>2024</v>
      </c>
      <c r="D684" s="1" t="s">
        <v>24</v>
      </c>
      <c r="E684" s="2">
        <v>1</v>
      </c>
      <c r="F684" s="1" t="s">
        <v>2831</v>
      </c>
      <c r="G684" s="1" t="s">
        <v>2736</v>
      </c>
      <c r="H684" s="2">
        <v>400</v>
      </c>
      <c r="I684" s="2">
        <v>49000</v>
      </c>
      <c r="J684" s="1" t="s">
        <v>2832</v>
      </c>
      <c r="K684" s="2">
        <v>49000</v>
      </c>
      <c r="L684" s="1" t="s">
        <v>68</v>
      </c>
      <c r="M684" s="1" t="s">
        <v>69</v>
      </c>
      <c r="N684" s="1" t="s">
        <v>162</v>
      </c>
      <c r="O684" s="1" t="s">
        <v>167</v>
      </c>
      <c r="P684" s="1" t="s">
        <v>162</v>
      </c>
      <c r="Q684" s="1" t="s">
        <v>311</v>
      </c>
      <c r="R684" s="1" t="s">
        <v>162</v>
      </c>
      <c r="S684" s="1" t="s">
        <v>71</v>
      </c>
      <c r="T684" s="3" t="str">
        <f>Sheet4!H684</f>
        <v xml:space="preserve"> View Map </v>
      </c>
    </row>
    <row r="685" spans="1:20" ht="15" x14ac:dyDescent="0.25">
      <c r="A685" s="1" t="s">
        <v>2833</v>
      </c>
      <c r="B685" s="1" t="s">
        <v>2834</v>
      </c>
      <c r="C685" s="2">
        <v>2012</v>
      </c>
      <c r="D685" s="1" t="s">
        <v>24</v>
      </c>
      <c r="E685" s="2">
        <v>0</v>
      </c>
      <c r="F685" s="1" t="s">
        <v>2835</v>
      </c>
      <c r="G685" s="1" t="s">
        <v>2836</v>
      </c>
      <c r="H685" s="2">
        <v>403</v>
      </c>
      <c r="I685" s="2">
        <v>11500</v>
      </c>
      <c r="J685" s="1" t="s">
        <v>2837</v>
      </c>
      <c r="K685" s="1" t="s">
        <v>28</v>
      </c>
      <c r="L685" s="1" t="s">
        <v>68</v>
      </c>
      <c r="M685" s="1" t="s">
        <v>69</v>
      </c>
      <c r="N685" s="1" t="s">
        <v>162</v>
      </c>
      <c r="O685" s="1" t="s">
        <v>360</v>
      </c>
      <c r="P685" s="1" t="s">
        <v>162</v>
      </c>
      <c r="Q685" s="1" t="s">
        <v>355</v>
      </c>
      <c r="R685" s="1" t="s">
        <v>162</v>
      </c>
      <c r="S685" s="1" t="s">
        <v>71</v>
      </c>
      <c r="T685" s="3" t="str">
        <f>Sheet4!H685</f>
        <v xml:space="preserve"> View Map </v>
      </c>
    </row>
    <row r="686" spans="1:20" ht="15" x14ac:dyDescent="0.25">
      <c r="A686" s="1" t="s">
        <v>2838</v>
      </c>
      <c r="B686" s="1" t="s">
        <v>2839</v>
      </c>
      <c r="C686" s="2">
        <v>2023</v>
      </c>
      <c r="D686" s="1" t="s">
        <v>24</v>
      </c>
      <c r="E686" s="2">
        <v>1</v>
      </c>
      <c r="F686" s="1" t="s">
        <v>2459</v>
      </c>
      <c r="G686" s="1" t="s">
        <v>2459</v>
      </c>
      <c r="H686" s="2">
        <v>50</v>
      </c>
      <c r="I686" s="2">
        <v>40000</v>
      </c>
      <c r="J686" s="1" t="s">
        <v>2840</v>
      </c>
      <c r="K686" s="2">
        <v>40000</v>
      </c>
      <c r="L686" s="1" t="s">
        <v>68</v>
      </c>
      <c r="M686" s="1" t="s">
        <v>69</v>
      </c>
      <c r="N686" s="1" t="s">
        <v>275</v>
      </c>
      <c r="O686" s="1" t="s">
        <v>354</v>
      </c>
      <c r="P686" s="1" t="s">
        <v>275</v>
      </c>
      <c r="Q686" s="1" t="s">
        <v>348</v>
      </c>
      <c r="R686" s="1" t="s">
        <v>275</v>
      </c>
      <c r="S686" s="1" t="s">
        <v>71</v>
      </c>
      <c r="T686" s="3" t="str">
        <f>Sheet4!H686</f>
        <v xml:space="preserve"> View Map </v>
      </c>
    </row>
    <row r="687" spans="1:20" ht="15" x14ac:dyDescent="0.25">
      <c r="A687" s="1" t="s">
        <v>2841</v>
      </c>
      <c r="B687" s="1" t="s">
        <v>2842</v>
      </c>
      <c r="C687" s="2">
        <v>2022</v>
      </c>
      <c r="D687" s="1" t="s">
        <v>24</v>
      </c>
      <c r="E687" s="2">
        <v>1</v>
      </c>
      <c r="F687" s="1" t="s">
        <v>2843</v>
      </c>
      <c r="G687" s="1" t="s">
        <v>2844</v>
      </c>
      <c r="H687" s="2">
        <v>2000</v>
      </c>
      <c r="I687" s="2">
        <v>25000</v>
      </c>
      <c r="J687" s="1" t="s">
        <v>2845</v>
      </c>
      <c r="K687" s="2">
        <v>10000</v>
      </c>
      <c r="L687" s="1" t="s">
        <v>68</v>
      </c>
      <c r="M687" s="1" t="s">
        <v>69</v>
      </c>
      <c r="N687" s="1" t="s">
        <v>275</v>
      </c>
      <c r="O687" s="1" t="s">
        <v>407</v>
      </c>
      <c r="P687" s="1" t="s">
        <v>275</v>
      </c>
      <c r="Q687" s="1" t="s">
        <v>402</v>
      </c>
      <c r="R687" s="1" t="s">
        <v>275</v>
      </c>
      <c r="S687" s="1" t="s">
        <v>71</v>
      </c>
      <c r="T687" s="3" t="str">
        <f>Sheet4!H687</f>
        <v xml:space="preserve"> View Map </v>
      </c>
    </row>
    <row r="688" spans="1:20" ht="15" x14ac:dyDescent="0.25">
      <c r="A688" s="1" t="s">
        <v>2846</v>
      </c>
      <c r="B688" s="1" t="s">
        <v>2847</v>
      </c>
      <c r="C688" s="2">
        <v>2024</v>
      </c>
      <c r="D688" s="1" t="s">
        <v>24</v>
      </c>
      <c r="E688" s="2">
        <v>1</v>
      </c>
      <c r="F688" s="1" t="s">
        <v>2848</v>
      </c>
      <c r="G688" s="1"/>
      <c r="H688" s="2">
        <v>0</v>
      </c>
      <c r="I688" s="2">
        <v>55000</v>
      </c>
      <c r="J688" s="1" t="s">
        <v>2849</v>
      </c>
      <c r="K688" s="2">
        <v>48000</v>
      </c>
      <c r="L688" s="1" t="s">
        <v>68</v>
      </c>
      <c r="M688" s="1" t="s">
        <v>69</v>
      </c>
      <c r="N688" s="1" t="s">
        <v>275</v>
      </c>
      <c r="O688" s="1" t="s">
        <v>407</v>
      </c>
      <c r="P688" s="1" t="s">
        <v>275</v>
      </c>
      <c r="Q688" s="1" t="s">
        <v>402</v>
      </c>
      <c r="R688" s="1" t="s">
        <v>275</v>
      </c>
      <c r="S688" s="1" t="s">
        <v>71</v>
      </c>
      <c r="T688" s="3" t="str">
        <f>Sheet4!H688</f>
        <v xml:space="preserve"> View Map </v>
      </c>
    </row>
    <row r="689" spans="1:20" ht="15" x14ac:dyDescent="0.25">
      <c r="A689" s="1" t="s">
        <v>2850</v>
      </c>
      <c r="B689" s="1" t="s">
        <v>2851</v>
      </c>
      <c r="C689" s="2">
        <v>2024</v>
      </c>
      <c r="D689" s="1" t="s">
        <v>24</v>
      </c>
      <c r="E689" s="2">
        <v>1</v>
      </c>
      <c r="F689" s="1" t="s">
        <v>2050</v>
      </c>
      <c r="G689" s="1" t="s">
        <v>2051</v>
      </c>
      <c r="H689" s="2">
        <v>54</v>
      </c>
      <c r="I689" s="2">
        <v>41000</v>
      </c>
      <c r="J689" s="1" t="s">
        <v>2852</v>
      </c>
      <c r="K689" s="2">
        <v>41000</v>
      </c>
      <c r="L689" s="1" t="s">
        <v>68</v>
      </c>
      <c r="M689" s="1" t="s">
        <v>69</v>
      </c>
      <c r="N689" s="1" t="s">
        <v>72</v>
      </c>
      <c r="O689" s="1" t="s">
        <v>78</v>
      </c>
      <c r="P689" s="1" t="s">
        <v>72</v>
      </c>
      <c r="Q689" s="1" t="s">
        <v>2047</v>
      </c>
      <c r="R689" s="1" t="s">
        <v>645</v>
      </c>
      <c r="S689" s="1" t="s">
        <v>299</v>
      </c>
      <c r="T689" s="3" t="str">
        <f>Sheet4!H689</f>
        <v xml:space="preserve"> View Map </v>
      </c>
    </row>
    <row r="690" spans="1:20" ht="15" x14ac:dyDescent="0.25">
      <c r="A690" s="1" t="s">
        <v>2853</v>
      </c>
      <c r="B690" s="1" t="s">
        <v>2854</v>
      </c>
      <c r="C690" s="2">
        <v>2005</v>
      </c>
      <c r="D690" s="1" t="s">
        <v>24</v>
      </c>
      <c r="E690" s="2">
        <v>0</v>
      </c>
      <c r="F690" s="1" t="s">
        <v>2855</v>
      </c>
      <c r="G690" s="1" t="s">
        <v>2856</v>
      </c>
      <c r="H690" s="2">
        <v>40</v>
      </c>
      <c r="I690" s="2">
        <v>30000</v>
      </c>
      <c r="J690" s="1" t="s">
        <v>2857</v>
      </c>
      <c r="K690" s="1" t="s">
        <v>28</v>
      </c>
      <c r="L690" s="1" t="s">
        <v>68</v>
      </c>
      <c r="M690" s="1" t="s">
        <v>69</v>
      </c>
      <c r="N690" s="1" t="s">
        <v>275</v>
      </c>
      <c r="O690" s="1" t="s">
        <v>2858</v>
      </c>
      <c r="P690" s="1" t="s">
        <v>275</v>
      </c>
      <c r="Q690" s="1" t="s">
        <v>275</v>
      </c>
      <c r="R690" s="1" t="s">
        <v>275</v>
      </c>
      <c r="S690" s="1" t="s">
        <v>71</v>
      </c>
      <c r="T690" s="3" t="str">
        <f>Sheet4!H690</f>
        <v xml:space="preserve"> View Map </v>
      </c>
    </row>
    <row r="691" spans="1:20" ht="15" x14ac:dyDescent="0.25">
      <c r="A691" s="1" t="s">
        <v>2859</v>
      </c>
      <c r="B691" s="1" t="s">
        <v>2860</v>
      </c>
      <c r="C691" s="2">
        <v>2016</v>
      </c>
      <c r="D691" s="1" t="s">
        <v>24</v>
      </c>
      <c r="E691" s="2">
        <v>0</v>
      </c>
      <c r="F691" s="1" t="s">
        <v>2861</v>
      </c>
      <c r="G691" s="1" t="s">
        <v>1058</v>
      </c>
      <c r="H691" s="2">
        <v>200</v>
      </c>
      <c r="I691" s="2">
        <v>74750</v>
      </c>
      <c r="J691" s="1" t="s">
        <v>2862</v>
      </c>
      <c r="K691" s="2">
        <v>74750</v>
      </c>
      <c r="L691" s="1" t="s">
        <v>68</v>
      </c>
      <c r="M691" s="1" t="s">
        <v>69</v>
      </c>
      <c r="N691" s="1" t="s">
        <v>275</v>
      </c>
      <c r="O691" s="1" t="s">
        <v>1060</v>
      </c>
      <c r="P691" s="1" t="s">
        <v>275</v>
      </c>
      <c r="Q691" s="1" t="s">
        <v>275</v>
      </c>
      <c r="R691" s="1" t="s">
        <v>275</v>
      </c>
      <c r="S691" s="1" t="s">
        <v>71</v>
      </c>
      <c r="T691" s="3" t="str">
        <f>Sheet4!H691</f>
        <v xml:space="preserve"> View Map </v>
      </c>
    </row>
    <row r="692" spans="1:20" ht="15" x14ac:dyDescent="0.25">
      <c r="A692" s="1" t="s">
        <v>2863</v>
      </c>
      <c r="B692" s="1" t="s">
        <v>2864</v>
      </c>
      <c r="C692" s="2">
        <v>2005</v>
      </c>
      <c r="D692" s="1" t="s">
        <v>24</v>
      </c>
      <c r="E692" s="2">
        <v>1</v>
      </c>
      <c r="F692" s="1" t="s">
        <v>439</v>
      </c>
      <c r="G692" s="1"/>
      <c r="H692" s="2">
        <v>3000</v>
      </c>
      <c r="I692" s="2">
        <v>38000</v>
      </c>
      <c r="J692" s="1" t="s">
        <v>2865</v>
      </c>
      <c r="K692" s="2">
        <v>38000</v>
      </c>
      <c r="L692" s="1" t="s">
        <v>51</v>
      </c>
      <c r="M692" s="1" t="s">
        <v>52</v>
      </c>
      <c r="N692" s="1" t="s">
        <v>53</v>
      </c>
      <c r="O692" s="1" t="s">
        <v>62</v>
      </c>
      <c r="P692" s="1" t="s">
        <v>45</v>
      </c>
      <c r="Q692" s="1" t="s">
        <v>46</v>
      </c>
      <c r="R692" s="1" t="s">
        <v>55</v>
      </c>
      <c r="S692" s="1" t="s">
        <v>71</v>
      </c>
      <c r="T692" s="3" t="str">
        <f>Sheet4!H692</f>
        <v xml:space="preserve"> View Map </v>
      </c>
    </row>
    <row r="693" spans="1:20" ht="15" x14ac:dyDescent="0.25">
      <c r="A693" s="1" t="s">
        <v>2866</v>
      </c>
      <c r="B693" s="1" t="s">
        <v>2867</v>
      </c>
      <c r="C693" s="2">
        <v>2018</v>
      </c>
      <c r="D693" s="1" t="s">
        <v>24</v>
      </c>
      <c r="E693" s="2">
        <v>1</v>
      </c>
      <c r="F693" s="1" t="s">
        <v>2868</v>
      </c>
      <c r="G693" s="1" t="s">
        <v>2869</v>
      </c>
      <c r="H693" s="2">
        <v>15</v>
      </c>
      <c r="I693" s="2">
        <v>29750</v>
      </c>
      <c r="J693" s="1" t="s">
        <v>2870</v>
      </c>
      <c r="K693" s="2">
        <v>29750</v>
      </c>
      <c r="L693" s="1" t="s">
        <v>68</v>
      </c>
      <c r="M693" s="1" t="s">
        <v>69</v>
      </c>
      <c r="N693" s="1" t="s">
        <v>275</v>
      </c>
      <c r="O693" s="1" t="s">
        <v>1060</v>
      </c>
      <c r="P693" s="1" t="s">
        <v>275</v>
      </c>
      <c r="Q693" s="1" t="s">
        <v>275</v>
      </c>
      <c r="R693" s="1" t="s">
        <v>275</v>
      </c>
      <c r="S693" s="1" t="s">
        <v>71</v>
      </c>
      <c r="T693" s="3" t="str">
        <f>Sheet4!H693</f>
        <v xml:space="preserve"> View Map </v>
      </c>
    </row>
    <row r="694" spans="1:20" ht="15" x14ac:dyDescent="0.25">
      <c r="A694" s="1" t="s">
        <v>2871</v>
      </c>
      <c r="B694" s="1" t="s">
        <v>2872</v>
      </c>
      <c r="C694" s="2">
        <v>2024</v>
      </c>
      <c r="D694" s="1" t="s">
        <v>24</v>
      </c>
      <c r="E694" s="2">
        <v>1</v>
      </c>
      <c r="F694" s="1"/>
      <c r="G694" s="1" t="s">
        <v>2308</v>
      </c>
      <c r="H694" s="2">
        <v>600</v>
      </c>
      <c r="I694" s="2">
        <v>42500</v>
      </c>
      <c r="J694" s="1" t="s">
        <v>2873</v>
      </c>
      <c r="K694" s="2">
        <v>42500</v>
      </c>
      <c r="L694" s="1" t="s">
        <v>68</v>
      </c>
      <c r="M694" s="1" t="s">
        <v>69</v>
      </c>
      <c r="N694" s="1" t="s">
        <v>72</v>
      </c>
      <c r="O694" s="1" t="s">
        <v>598</v>
      </c>
      <c r="P694" s="1" t="s">
        <v>72</v>
      </c>
      <c r="Q694" s="1" t="s">
        <v>593</v>
      </c>
      <c r="R694" s="1" t="s">
        <v>73</v>
      </c>
      <c r="S694" s="1" t="s">
        <v>71</v>
      </c>
      <c r="T694" s="3" t="str">
        <f>Sheet4!H694</f>
        <v xml:space="preserve"> View Map </v>
      </c>
    </row>
    <row r="695" spans="1:20" ht="15" x14ac:dyDescent="0.25">
      <c r="A695" s="1" t="s">
        <v>2874</v>
      </c>
      <c r="B695" s="1" t="s">
        <v>286</v>
      </c>
      <c r="C695" s="2">
        <v>2024</v>
      </c>
      <c r="D695" s="1" t="s">
        <v>24</v>
      </c>
      <c r="E695" s="2">
        <v>1</v>
      </c>
      <c r="F695" s="1" t="s">
        <v>2875</v>
      </c>
      <c r="G695" s="1" t="s">
        <v>286</v>
      </c>
      <c r="H695" s="2">
        <v>0</v>
      </c>
      <c r="I695" s="2">
        <v>15000</v>
      </c>
      <c r="J695" s="1" t="s">
        <v>2876</v>
      </c>
      <c r="K695" s="2">
        <v>35000</v>
      </c>
      <c r="L695" s="1" t="s">
        <v>68</v>
      </c>
      <c r="M695" s="1" t="s">
        <v>69</v>
      </c>
      <c r="N695" s="1" t="s">
        <v>275</v>
      </c>
      <c r="O695" s="1" t="s">
        <v>297</v>
      </c>
      <c r="P695" s="1" t="s">
        <v>275</v>
      </c>
      <c r="Q695" s="1" t="s">
        <v>276</v>
      </c>
      <c r="R695" s="1" t="s">
        <v>275</v>
      </c>
      <c r="S695" s="1" t="s">
        <v>71</v>
      </c>
      <c r="T695" s="3" t="str">
        <f>Sheet4!H695</f>
        <v xml:space="preserve"> View Map </v>
      </c>
    </row>
    <row r="696" spans="1:20" ht="15" x14ac:dyDescent="0.25">
      <c r="A696" s="1" t="s">
        <v>2877</v>
      </c>
      <c r="B696" s="1" t="s">
        <v>2878</v>
      </c>
      <c r="C696" s="2">
        <v>2024</v>
      </c>
      <c r="D696" s="1" t="s">
        <v>24</v>
      </c>
      <c r="E696" s="2">
        <v>1</v>
      </c>
      <c r="F696" s="1" t="s">
        <v>2879</v>
      </c>
      <c r="G696" s="1" t="s">
        <v>2880</v>
      </c>
      <c r="H696" s="2">
        <v>1160</v>
      </c>
      <c r="I696" s="2">
        <v>30000</v>
      </c>
      <c r="J696" s="1" t="s">
        <v>2881</v>
      </c>
      <c r="K696" s="2">
        <v>30000</v>
      </c>
      <c r="L696" s="1" t="s">
        <v>51</v>
      </c>
      <c r="M696" s="1" t="s">
        <v>159</v>
      </c>
      <c r="N696" s="1" t="s">
        <v>160</v>
      </c>
      <c r="O696" s="1" t="s">
        <v>219</v>
      </c>
      <c r="P696" s="1" t="s">
        <v>153</v>
      </c>
      <c r="Q696" s="1" t="s">
        <v>160</v>
      </c>
      <c r="R696" s="1" t="s">
        <v>588</v>
      </c>
      <c r="S696" s="1" t="s">
        <v>71</v>
      </c>
      <c r="T696" s="3" t="str">
        <f>Sheet4!H696</f>
        <v xml:space="preserve"> View Map </v>
      </c>
    </row>
    <row r="697" spans="1:20" ht="15" x14ac:dyDescent="0.25">
      <c r="A697" s="1" t="s">
        <v>2882</v>
      </c>
      <c r="B697" s="1" t="s">
        <v>2883</v>
      </c>
      <c r="C697" s="2">
        <v>2005</v>
      </c>
      <c r="D697" s="1" t="s">
        <v>24</v>
      </c>
      <c r="E697" s="2">
        <v>0</v>
      </c>
      <c r="F697" s="1" t="s">
        <v>2884</v>
      </c>
      <c r="G697" s="1"/>
      <c r="H697" s="2">
        <v>0</v>
      </c>
      <c r="I697" s="2">
        <v>35000</v>
      </c>
      <c r="J697" s="1" t="s">
        <v>2885</v>
      </c>
      <c r="K697" s="1" t="s">
        <v>28</v>
      </c>
      <c r="L697" s="1" t="s">
        <v>51</v>
      </c>
      <c r="M697" s="1" t="s">
        <v>52</v>
      </c>
      <c r="N697" s="1" t="s">
        <v>20</v>
      </c>
      <c r="O697" s="1" t="s">
        <v>173</v>
      </c>
      <c r="P697" s="1" t="s">
        <v>20</v>
      </c>
      <c r="Q697" s="1" t="s">
        <v>168</v>
      </c>
      <c r="R697" s="1" t="s">
        <v>174</v>
      </c>
      <c r="S697" s="1" t="s">
        <v>71</v>
      </c>
      <c r="T697" s="3" t="str">
        <f>Sheet4!H697</f>
        <v xml:space="preserve"> View Map </v>
      </c>
    </row>
    <row r="698" spans="1:20" ht="15" x14ac:dyDescent="0.25">
      <c r="A698" s="1" t="s">
        <v>2886</v>
      </c>
      <c r="B698" s="1" t="s">
        <v>2887</v>
      </c>
      <c r="C698" s="2">
        <v>2025</v>
      </c>
      <c r="D698" s="1" t="s">
        <v>24</v>
      </c>
      <c r="E698" s="2">
        <v>1</v>
      </c>
      <c r="F698" s="1" t="s">
        <v>2888</v>
      </c>
      <c r="G698" s="1" t="s">
        <v>2889</v>
      </c>
      <c r="H698" s="2">
        <v>1120</v>
      </c>
      <c r="I698" s="2">
        <v>61000</v>
      </c>
      <c r="J698" s="1" t="s">
        <v>2890</v>
      </c>
      <c r="K698" s="1" t="s">
        <v>28</v>
      </c>
      <c r="L698" s="1" t="s">
        <v>68</v>
      </c>
      <c r="M698" s="1" t="s">
        <v>69</v>
      </c>
      <c r="N698" s="1" t="s">
        <v>162</v>
      </c>
      <c r="O698" s="1" t="s">
        <v>374</v>
      </c>
      <c r="P698" s="1" t="s">
        <v>162</v>
      </c>
      <c r="Q698" s="1" t="s">
        <v>162</v>
      </c>
      <c r="R698" s="1" t="s">
        <v>162</v>
      </c>
      <c r="S698" s="1" t="s">
        <v>71</v>
      </c>
      <c r="T698" s="3" t="str">
        <f>Sheet4!H698</f>
        <v xml:space="preserve"> View Map </v>
      </c>
    </row>
    <row r="699" spans="1:20" ht="15" x14ac:dyDescent="0.25">
      <c r="A699" s="1" t="s">
        <v>2891</v>
      </c>
      <c r="B699" s="1" t="s">
        <v>2892</v>
      </c>
      <c r="C699" s="2">
        <v>2022</v>
      </c>
      <c r="D699" s="1" t="s">
        <v>24</v>
      </c>
      <c r="E699" s="2">
        <v>1</v>
      </c>
      <c r="F699" s="1" t="s">
        <v>2893</v>
      </c>
      <c r="G699" s="1" t="s">
        <v>2894</v>
      </c>
      <c r="H699" s="2">
        <v>282</v>
      </c>
      <c r="I699" s="2">
        <v>37200</v>
      </c>
      <c r="J699" s="1" t="s">
        <v>2895</v>
      </c>
      <c r="K699" s="2">
        <v>37200</v>
      </c>
      <c r="L699" s="1" t="s">
        <v>68</v>
      </c>
      <c r="M699" s="1" t="s">
        <v>69</v>
      </c>
      <c r="N699" s="1" t="s">
        <v>72</v>
      </c>
      <c r="O699" s="1" t="s">
        <v>598</v>
      </c>
      <c r="P699" s="1" t="s">
        <v>72</v>
      </c>
      <c r="Q699" s="1" t="s">
        <v>593</v>
      </c>
      <c r="R699" s="1" t="s">
        <v>72</v>
      </c>
      <c r="S699" s="1" t="s">
        <v>71</v>
      </c>
      <c r="T699" s="3" t="str">
        <f>Sheet4!H699</f>
        <v xml:space="preserve"> View Map </v>
      </c>
    </row>
    <row r="700" spans="1:20" ht="15" x14ac:dyDescent="0.25">
      <c r="A700" s="1" t="s">
        <v>2896</v>
      </c>
      <c r="B700" s="1" t="s">
        <v>2897</v>
      </c>
      <c r="C700" s="2">
        <v>2024</v>
      </c>
      <c r="D700" s="1" t="s">
        <v>24</v>
      </c>
      <c r="E700" s="2">
        <v>1</v>
      </c>
      <c r="F700" s="1" t="s">
        <v>2898</v>
      </c>
      <c r="G700" s="1" t="s">
        <v>2899</v>
      </c>
      <c r="H700" s="2">
        <v>300</v>
      </c>
      <c r="I700" s="2">
        <v>36000</v>
      </c>
      <c r="J700" s="1" t="s">
        <v>2900</v>
      </c>
      <c r="K700" s="2">
        <v>36000</v>
      </c>
      <c r="L700" s="1" t="s">
        <v>68</v>
      </c>
      <c r="M700" s="1" t="s">
        <v>69</v>
      </c>
      <c r="N700" s="1" t="s">
        <v>275</v>
      </c>
      <c r="O700" s="1" t="s">
        <v>1060</v>
      </c>
      <c r="P700" s="1" t="s">
        <v>275</v>
      </c>
      <c r="Q700" s="1" t="s">
        <v>348</v>
      </c>
      <c r="R700" s="1" t="s">
        <v>275</v>
      </c>
      <c r="S700" s="1" t="s">
        <v>71</v>
      </c>
      <c r="T700" s="3" t="str">
        <f>Sheet4!H700</f>
        <v xml:space="preserve"> View Map </v>
      </c>
    </row>
    <row r="701" spans="1:20" ht="15" x14ac:dyDescent="0.25">
      <c r="A701" s="1" t="s">
        <v>2901</v>
      </c>
      <c r="B701" s="1" t="s">
        <v>1424</v>
      </c>
      <c r="C701" s="2">
        <v>2019</v>
      </c>
      <c r="D701" s="1" t="s">
        <v>24</v>
      </c>
      <c r="E701" s="2">
        <v>1</v>
      </c>
      <c r="F701" s="1" t="s">
        <v>2902</v>
      </c>
      <c r="G701" s="1" t="s">
        <v>1424</v>
      </c>
      <c r="H701" s="2">
        <v>20</v>
      </c>
      <c r="I701" s="2">
        <v>30500</v>
      </c>
      <c r="J701" s="1" t="s">
        <v>2903</v>
      </c>
      <c r="K701" s="2">
        <v>30500</v>
      </c>
      <c r="L701" s="1" t="s">
        <v>68</v>
      </c>
      <c r="M701" s="1" t="s">
        <v>69</v>
      </c>
      <c r="N701" s="1" t="s">
        <v>309</v>
      </c>
      <c r="O701" s="1" t="s">
        <v>2332</v>
      </c>
      <c r="P701" s="1" t="s">
        <v>304</v>
      </c>
      <c r="Q701" s="1" t="s">
        <v>305</v>
      </c>
      <c r="R701" s="1" t="s">
        <v>309</v>
      </c>
      <c r="S701" s="1" t="s">
        <v>71</v>
      </c>
      <c r="T701" s="3" t="str">
        <f>Sheet4!H701</f>
        <v xml:space="preserve"> View Map </v>
      </c>
    </row>
    <row r="702" spans="1:20" ht="15" x14ac:dyDescent="0.25">
      <c r="A702" s="1" t="s">
        <v>2904</v>
      </c>
      <c r="B702" s="1" t="s">
        <v>2905</v>
      </c>
      <c r="C702" s="2">
        <v>2023</v>
      </c>
      <c r="D702" s="1" t="s">
        <v>24</v>
      </c>
      <c r="E702" s="2">
        <v>1</v>
      </c>
      <c r="F702" s="1" t="s">
        <v>2906</v>
      </c>
      <c r="G702" s="1" t="s">
        <v>2907</v>
      </c>
      <c r="H702" s="2">
        <v>0</v>
      </c>
      <c r="I702" s="2">
        <v>79000</v>
      </c>
      <c r="J702" s="1" t="s">
        <v>2908</v>
      </c>
      <c r="K702" s="2">
        <v>79000</v>
      </c>
      <c r="L702" s="1" t="s">
        <v>68</v>
      </c>
      <c r="M702" s="1" t="s">
        <v>69</v>
      </c>
      <c r="N702" s="1" t="s">
        <v>162</v>
      </c>
      <c r="O702" s="1" t="s">
        <v>511</v>
      </c>
      <c r="P702" s="1" t="s">
        <v>162</v>
      </c>
      <c r="Q702" s="1" t="s">
        <v>506</v>
      </c>
      <c r="R702" s="1" t="s">
        <v>162</v>
      </c>
      <c r="S702" s="1" t="s">
        <v>71</v>
      </c>
      <c r="T702" s="3" t="str">
        <f>Sheet4!H702</f>
        <v xml:space="preserve"> View Map </v>
      </c>
    </row>
    <row r="703" spans="1:20" ht="15" x14ac:dyDescent="0.25">
      <c r="A703" s="1" t="s">
        <v>2909</v>
      </c>
      <c r="B703" s="1" t="s">
        <v>2910</v>
      </c>
      <c r="C703" s="2">
        <v>2024</v>
      </c>
      <c r="D703" s="1" t="s">
        <v>24</v>
      </c>
      <c r="E703" s="2">
        <v>1</v>
      </c>
      <c r="F703" s="1" t="s">
        <v>2911</v>
      </c>
      <c r="G703" s="1"/>
      <c r="H703" s="2">
        <v>0</v>
      </c>
      <c r="I703" s="2">
        <v>100000</v>
      </c>
      <c r="J703" s="1" t="s">
        <v>2912</v>
      </c>
      <c r="K703" s="2">
        <v>100000</v>
      </c>
      <c r="L703" s="1" t="s">
        <v>68</v>
      </c>
      <c r="M703" s="1" t="s">
        <v>69</v>
      </c>
      <c r="N703" s="1" t="s">
        <v>275</v>
      </c>
      <c r="O703" s="1" t="s">
        <v>2441</v>
      </c>
      <c r="P703" s="1" t="s">
        <v>275</v>
      </c>
      <c r="Q703" s="1" t="s">
        <v>2132</v>
      </c>
      <c r="R703" s="1" t="s">
        <v>275</v>
      </c>
      <c r="S703" s="1" t="s">
        <v>71</v>
      </c>
      <c r="T703" s="3" t="str">
        <f>Sheet4!H703</f>
        <v xml:space="preserve"> View Map </v>
      </c>
    </row>
    <row r="704" spans="1:20" ht="15" x14ac:dyDescent="0.25">
      <c r="A704" s="1" t="s">
        <v>2913</v>
      </c>
      <c r="B704" s="1" t="s">
        <v>2914</v>
      </c>
      <c r="C704" s="2">
        <v>2023</v>
      </c>
      <c r="D704" s="1" t="s">
        <v>24</v>
      </c>
      <c r="E704" s="2">
        <v>1</v>
      </c>
      <c r="F704" s="1" t="s">
        <v>2915</v>
      </c>
      <c r="G704" s="1" t="s">
        <v>2915</v>
      </c>
      <c r="H704" s="2">
        <v>140</v>
      </c>
      <c r="I704" s="2">
        <v>10000</v>
      </c>
      <c r="J704" s="1" t="s">
        <v>2916</v>
      </c>
      <c r="K704" s="2">
        <v>8000</v>
      </c>
      <c r="L704" s="1" t="s">
        <v>68</v>
      </c>
      <c r="M704" s="1" t="s">
        <v>69</v>
      </c>
      <c r="N704" s="1" t="s">
        <v>275</v>
      </c>
      <c r="O704" s="1" t="s">
        <v>297</v>
      </c>
      <c r="P704" s="1" t="s">
        <v>275</v>
      </c>
      <c r="Q704" s="1" t="s">
        <v>276</v>
      </c>
      <c r="R704" s="1" t="s">
        <v>275</v>
      </c>
      <c r="S704" s="1" t="s">
        <v>71</v>
      </c>
      <c r="T704" s="3" t="str">
        <f>Sheet4!H704</f>
        <v xml:space="preserve"> View Map </v>
      </c>
    </row>
    <row r="705" spans="1:20" ht="15" x14ac:dyDescent="0.25">
      <c r="A705" s="1" t="s">
        <v>2917</v>
      </c>
      <c r="B705" s="1" t="s">
        <v>2918</v>
      </c>
      <c r="C705" s="2">
        <v>2015</v>
      </c>
      <c r="D705" s="1" t="s">
        <v>24</v>
      </c>
      <c r="E705" s="2">
        <v>1</v>
      </c>
      <c r="F705" s="1" t="s">
        <v>2686</v>
      </c>
      <c r="G705" s="1" t="s">
        <v>2686</v>
      </c>
      <c r="H705" s="2">
        <v>4290</v>
      </c>
      <c r="I705" s="2">
        <v>48282</v>
      </c>
      <c r="J705" s="1" t="s">
        <v>2919</v>
      </c>
      <c r="K705" s="2">
        <v>48282</v>
      </c>
      <c r="L705" s="1" t="s">
        <v>68</v>
      </c>
      <c r="M705" s="1" t="s">
        <v>69</v>
      </c>
      <c r="N705" s="1" t="s">
        <v>275</v>
      </c>
      <c r="O705" s="1" t="s">
        <v>2137</v>
      </c>
      <c r="P705" s="1" t="s">
        <v>275</v>
      </c>
      <c r="Q705" s="1" t="s">
        <v>2132</v>
      </c>
      <c r="R705" s="1" t="s">
        <v>275</v>
      </c>
      <c r="S705" s="1" t="s">
        <v>71</v>
      </c>
      <c r="T705" s="3" t="str">
        <f>Sheet4!H705</f>
        <v xml:space="preserve"> View Map </v>
      </c>
    </row>
    <row r="706" spans="1:20" ht="15" x14ac:dyDescent="0.25">
      <c r="A706" s="1" t="s">
        <v>2920</v>
      </c>
      <c r="B706" s="1" t="s">
        <v>770</v>
      </c>
      <c r="C706" s="2">
        <v>2005</v>
      </c>
      <c r="D706" s="1" t="s">
        <v>24</v>
      </c>
      <c r="E706" s="2">
        <v>1</v>
      </c>
      <c r="F706" s="1" t="s">
        <v>2921</v>
      </c>
      <c r="G706" s="1" t="s">
        <v>2922</v>
      </c>
      <c r="H706" s="2">
        <v>100</v>
      </c>
      <c r="I706" s="2">
        <v>78000</v>
      </c>
      <c r="J706" s="1" t="s">
        <v>2923</v>
      </c>
      <c r="K706" s="2">
        <v>78000</v>
      </c>
      <c r="L706" s="1" t="s">
        <v>68</v>
      </c>
      <c r="M706" s="1" t="s">
        <v>69</v>
      </c>
      <c r="N706" s="1" t="s">
        <v>162</v>
      </c>
      <c r="O706" s="1" t="s">
        <v>770</v>
      </c>
      <c r="P706" s="1" t="s">
        <v>162</v>
      </c>
      <c r="Q706" s="1" t="s">
        <v>506</v>
      </c>
      <c r="R706" s="1" t="s">
        <v>162</v>
      </c>
      <c r="S706" s="1" t="s">
        <v>71</v>
      </c>
      <c r="T706" s="3" t="str">
        <f>Sheet4!H706</f>
        <v xml:space="preserve"> View Map </v>
      </c>
    </row>
    <row r="707" spans="1:20" ht="15" x14ac:dyDescent="0.25">
      <c r="A707" s="1" t="s">
        <v>2924</v>
      </c>
      <c r="B707" s="1" t="s">
        <v>2925</v>
      </c>
      <c r="C707" s="2">
        <v>2024</v>
      </c>
      <c r="D707" s="1" t="s">
        <v>24</v>
      </c>
      <c r="E707" s="2">
        <v>1</v>
      </c>
      <c r="F707" s="1" t="s">
        <v>1888</v>
      </c>
      <c r="G707" s="1"/>
      <c r="H707" s="2">
        <v>0</v>
      </c>
      <c r="I707" s="2">
        <v>120000</v>
      </c>
      <c r="J707" s="1" t="s">
        <v>2926</v>
      </c>
      <c r="K707" s="2">
        <v>110000</v>
      </c>
      <c r="L707" s="1" t="s">
        <v>68</v>
      </c>
      <c r="M707" s="1" t="s">
        <v>69</v>
      </c>
      <c r="N707" s="1" t="s">
        <v>162</v>
      </c>
      <c r="O707" s="1" t="s">
        <v>1888</v>
      </c>
      <c r="P707" s="1" t="s">
        <v>162</v>
      </c>
      <c r="Q707" s="1" t="s">
        <v>162</v>
      </c>
      <c r="R707" s="1" t="s">
        <v>162</v>
      </c>
      <c r="S707" s="1" t="s">
        <v>71</v>
      </c>
      <c r="T707" s="3" t="str">
        <f>Sheet4!H707</f>
        <v xml:space="preserve"> View Map </v>
      </c>
    </row>
    <row r="708" spans="1:20" ht="15" x14ac:dyDescent="0.25">
      <c r="A708" s="1" t="s">
        <v>2927</v>
      </c>
      <c r="B708" s="1" t="s">
        <v>2928</v>
      </c>
      <c r="C708" s="2">
        <v>2018</v>
      </c>
      <c r="D708" s="1" t="s">
        <v>24</v>
      </c>
      <c r="E708" s="2">
        <v>1</v>
      </c>
      <c r="F708" s="1" t="s">
        <v>2929</v>
      </c>
      <c r="G708" s="1"/>
      <c r="H708" s="2">
        <v>400</v>
      </c>
      <c r="I708" s="2">
        <v>50000</v>
      </c>
      <c r="J708" s="1" t="s">
        <v>2930</v>
      </c>
      <c r="K708" s="2">
        <v>50000</v>
      </c>
      <c r="L708" s="1" t="s">
        <v>68</v>
      </c>
      <c r="M708" s="1" t="s">
        <v>69</v>
      </c>
      <c r="N708" s="1" t="s">
        <v>162</v>
      </c>
      <c r="O708" s="1" t="s">
        <v>511</v>
      </c>
      <c r="P708" s="1" t="s">
        <v>162</v>
      </c>
      <c r="Q708" s="1" t="s">
        <v>506</v>
      </c>
      <c r="R708" s="1" t="s">
        <v>162</v>
      </c>
      <c r="S708" s="1" t="s">
        <v>71</v>
      </c>
      <c r="T708" s="3" t="str">
        <f>Sheet4!H708</f>
        <v xml:space="preserve"> View Map </v>
      </c>
    </row>
    <row r="709" spans="1:20" ht="15" x14ac:dyDescent="0.25">
      <c r="A709" s="1" t="s">
        <v>2931</v>
      </c>
      <c r="B709" s="1" t="s">
        <v>2932</v>
      </c>
      <c r="C709" s="2">
        <v>1995</v>
      </c>
      <c r="D709" s="1" t="s">
        <v>24</v>
      </c>
      <c r="E709" s="2">
        <v>1</v>
      </c>
      <c r="F709" s="1" t="s">
        <v>2933</v>
      </c>
      <c r="G709" s="1"/>
      <c r="H709" s="2">
        <v>200</v>
      </c>
      <c r="I709" s="2">
        <v>150000</v>
      </c>
      <c r="J709" s="1" t="s">
        <v>2934</v>
      </c>
      <c r="K709" s="2">
        <v>150000</v>
      </c>
      <c r="L709" s="1" t="s">
        <v>68</v>
      </c>
      <c r="M709" s="1" t="s">
        <v>69</v>
      </c>
      <c r="N709" s="1" t="s">
        <v>72</v>
      </c>
      <c r="O709" s="1" t="s">
        <v>598</v>
      </c>
      <c r="P709" s="1" t="s">
        <v>72</v>
      </c>
      <c r="Q709" s="1" t="s">
        <v>2047</v>
      </c>
      <c r="R709" s="1" t="s">
        <v>72</v>
      </c>
      <c r="S709" s="1" t="s">
        <v>71</v>
      </c>
      <c r="T709" s="3" t="str">
        <f>Sheet4!H709</f>
        <v xml:space="preserve"> View Map </v>
      </c>
    </row>
    <row r="710" spans="1:20" ht="15" x14ac:dyDescent="0.25">
      <c r="A710" s="1" t="s">
        <v>2935</v>
      </c>
      <c r="B710" s="1" t="s">
        <v>2936</v>
      </c>
      <c r="C710" s="2">
        <v>2005</v>
      </c>
      <c r="D710" s="1" t="s">
        <v>24</v>
      </c>
      <c r="E710" s="2">
        <v>0</v>
      </c>
      <c r="F710" s="1"/>
      <c r="G710" s="1"/>
      <c r="H710" s="2">
        <v>0</v>
      </c>
      <c r="I710" s="2">
        <v>0</v>
      </c>
      <c r="J710" s="1" t="s">
        <v>2937</v>
      </c>
      <c r="K710" s="1" t="s">
        <v>28</v>
      </c>
      <c r="L710" s="1" t="s">
        <v>68</v>
      </c>
      <c r="M710" s="1" t="s">
        <v>69</v>
      </c>
      <c r="N710" s="1" t="s">
        <v>275</v>
      </c>
      <c r="O710" s="1" t="s">
        <v>28</v>
      </c>
      <c r="P710" s="1" t="s">
        <v>275</v>
      </c>
      <c r="Q710" s="1" t="s">
        <v>28</v>
      </c>
      <c r="R710" s="1" t="s">
        <v>275</v>
      </c>
      <c r="S710" s="1" t="s">
        <v>71</v>
      </c>
      <c r="T710" s="3" t="str">
        <f>Sheet4!H710</f>
        <v xml:space="preserve"> View Map </v>
      </c>
    </row>
    <row r="711" spans="1:20" ht="15" x14ac:dyDescent="0.25">
      <c r="A711" s="1" t="s">
        <v>2938</v>
      </c>
      <c r="B711" s="1" t="s">
        <v>2939</v>
      </c>
      <c r="C711" s="2">
        <v>2017</v>
      </c>
      <c r="D711" s="1" t="s">
        <v>24</v>
      </c>
      <c r="E711" s="2">
        <v>0</v>
      </c>
      <c r="F711" s="1" t="s">
        <v>2940</v>
      </c>
      <c r="G711" s="1"/>
      <c r="H711" s="2">
        <v>0</v>
      </c>
      <c r="I711" s="2">
        <v>100000</v>
      </c>
      <c r="J711" s="1" t="s">
        <v>2941</v>
      </c>
      <c r="K711" s="1" t="s">
        <v>28</v>
      </c>
      <c r="L711" s="1" t="s">
        <v>68</v>
      </c>
      <c r="M711" s="1" t="s">
        <v>69</v>
      </c>
      <c r="N711" s="1" t="s">
        <v>162</v>
      </c>
      <c r="O711" s="1" t="s">
        <v>511</v>
      </c>
      <c r="P711" s="1" t="s">
        <v>162</v>
      </c>
      <c r="Q711" s="1" t="s">
        <v>506</v>
      </c>
      <c r="R711" s="1" t="s">
        <v>162</v>
      </c>
      <c r="S711" s="1" t="s">
        <v>71</v>
      </c>
      <c r="T711" s="3" t="str">
        <f>Sheet4!H711</f>
        <v xml:space="preserve"> View Map </v>
      </c>
    </row>
    <row r="712" spans="1:20" ht="15" x14ac:dyDescent="0.25">
      <c r="A712" s="1" t="s">
        <v>2942</v>
      </c>
      <c r="B712" s="1" t="s">
        <v>2943</v>
      </c>
      <c r="C712" s="2">
        <v>2015</v>
      </c>
      <c r="D712" s="1" t="s">
        <v>24</v>
      </c>
      <c r="E712" s="2">
        <v>0</v>
      </c>
      <c r="F712" s="1" t="s">
        <v>2944</v>
      </c>
      <c r="G712" s="1"/>
      <c r="H712" s="2">
        <v>650</v>
      </c>
      <c r="I712" s="2">
        <v>15000</v>
      </c>
      <c r="J712" s="1" t="s">
        <v>2945</v>
      </c>
      <c r="K712" s="1" t="s">
        <v>28</v>
      </c>
      <c r="L712" s="1" t="s">
        <v>51</v>
      </c>
      <c r="M712" s="1" t="s">
        <v>52</v>
      </c>
      <c r="N712" s="1" t="s">
        <v>53</v>
      </c>
      <c r="O712" s="1" t="s">
        <v>774</v>
      </c>
      <c r="P712" s="1" t="s">
        <v>45</v>
      </c>
      <c r="Q712" s="1" t="s">
        <v>53</v>
      </c>
      <c r="R712" s="1" t="s">
        <v>204</v>
      </c>
      <c r="S712" s="1" t="s">
        <v>71</v>
      </c>
      <c r="T712" s="3" t="str">
        <f>Sheet4!H712</f>
        <v xml:space="preserve"> View Map </v>
      </c>
    </row>
    <row r="713" spans="1:20" ht="15" x14ac:dyDescent="0.25">
      <c r="A713" s="1" t="s">
        <v>2946</v>
      </c>
      <c r="B713" s="1" t="s">
        <v>2947</v>
      </c>
      <c r="C713" s="2">
        <v>2024</v>
      </c>
      <c r="D713" s="1" t="s">
        <v>24</v>
      </c>
      <c r="E713" s="2">
        <v>1</v>
      </c>
      <c r="F713" s="1" t="s">
        <v>2686</v>
      </c>
      <c r="G713" s="1"/>
      <c r="H713" s="2">
        <v>224</v>
      </c>
      <c r="I713" s="2">
        <v>38500</v>
      </c>
      <c r="J713" s="1" t="s">
        <v>2948</v>
      </c>
      <c r="K713" s="2">
        <v>38500</v>
      </c>
      <c r="L713" s="1" t="s">
        <v>68</v>
      </c>
      <c r="M713" s="1" t="s">
        <v>69</v>
      </c>
      <c r="N713" s="1" t="s">
        <v>275</v>
      </c>
      <c r="O713" s="1" t="s">
        <v>2137</v>
      </c>
      <c r="P713" s="1" t="s">
        <v>275</v>
      </c>
      <c r="Q713" s="1" t="s">
        <v>2132</v>
      </c>
      <c r="R713" s="1" t="s">
        <v>275</v>
      </c>
      <c r="S713" s="1" t="s">
        <v>71</v>
      </c>
      <c r="T713" s="3" t="str">
        <f>Sheet4!H713</f>
        <v xml:space="preserve"> View Map </v>
      </c>
    </row>
    <row r="714" spans="1:20" ht="15" x14ac:dyDescent="0.25">
      <c r="A714" s="1" t="s">
        <v>2949</v>
      </c>
      <c r="B714" s="1" t="s">
        <v>2950</v>
      </c>
      <c r="C714" s="2">
        <v>2005</v>
      </c>
      <c r="D714" s="1" t="s">
        <v>81</v>
      </c>
      <c r="E714" s="2">
        <v>0</v>
      </c>
      <c r="F714" s="1"/>
      <c r="G714" s="1"/>
      <c r="H714" s="2">
        <v>0</v>
      </c>
      <c r="I714" s="2">
        <v>0</v>
      </c>
      <c r="J714" s="1" t="s">
        <v>2951</v>
      </c>
      <c r="K714" s="1" t="s">
        <v>28</v>
      </c>
      <c r="L714" s="1" t="s">
        <v>68</v>
      </c>
      <c r="M714" s="1" t="s">
        <v>69</v>
      </c>
      <c r="N714" s="1" t="s">
        <v>2952</v>
      </c>
      <c r="O714" s="1" t="s">
        <v>28</v>
      </c>
      <c r="P714" s="1" t="s">
        <v>45</v>
      </c>
      <c r="Q714" s="1" t="s">
        <v>28</v>
      </c>
      <c r="R714" s="1" t="s">
        <v>645</v>
      </c>
      <c r="S714" s="1" t="s">
        <v>71</v>
      </c>
      <c r="T714" s="3" t="str">
        <f>Sheet4!H714</f>
        <v xml:space="preserve"> View Map </v>
      </c>
    </row>
    <row r="715" spans="1:20" ht="15" x14ac:dyDescent="0.25">
      <c r="A715" s="1" t="s">
        <v>2953</v>
      </c>
      <c r="B715" s="1" t="s">
        <v>2954</v>
      </c>
      <c r="C715" s="2">
        <v>2005</v>
      </c>
      <c r="D715" s="1" t="s">
        <v>81</v>
      </c>
      <c r="E715" s="2">
        <v>0</v>
      </c>
      <c r="F715" s="1"/>
      <c r="G715" s="1" t="s">
        <v>1805</v>
      </c>
      <c r="H715" s="2">
        <v>0</v>
      </c>
      <c r="I715" s="2">
        <v>0</v>
      </c>
      <c r="J715" s="1" t="s">
        <v>2955</v>
      </c>
      <c r="K715" s="1" t="s">
        <v>28</v>
      </c>
      <c r="L715" s="1" t="s">
        <v>68</v>
      </c>
      <c r="M715" s="1" t="s">
        <v>69</v>
      </c>
      <c r="N715" s="1" t="s">
        <v>275</v>
      </c>
      <c r="O715" s="1" t="s">
        <v>28</v>
      </c>
      <c r="P715" s="1" t="s">
        <v>304</v>
      </c>
      <c r="Q715" s="1" t="s">
        <v>386</v>
      </c>
      <c r="R715" s="1" t="s">
        <v>275</v>
      </c>
      <c r="S715" s="1" t="s">
        <v>71</v>
      </c>
      <c r="T715" s="3" t="str">
        <f>Sheet4!H715</f>
        <v xml:space="preserve"> View Map </v>
      </c>
    </row>
    <row r="716" spans="1:20" ht="15" x14ac:dyDescent="0.25">
      <c r="A716" s="1" t="s">
        <v>2956</v>
      </c>
      <c r="B716" s="1" t="s">
        <v>2957</v>
      </c>
      <c r="C716" s="2">
        <v>2014</v>
      </c>
      <c r="D716" s="1" t="s">
        <v>24</v>
      </c>
      <c r="E716" s="2">
        <v>1</v>
      </c>
      <c r="F716" s="1" t="s">
        <v>2958</v>
      </c>
      <c r="G716" s="1" t="s">
        <v>2957</v>
      </c>
      <c r="H716" s="2">
        <v>500</v>
      </c>
      <c r="I716" s="2">
        <v>35000</v>
      </c>
      <c r="J716" s="1" t="s">
        <v>2959</v>
      </c>
      <c r="K716" s="2">
        <v>30000</v>
      </c>
      <c r="L716" s="1" t="s">
        <v>68</v>
      </c>
      <c r="M716" s="1" t="s">
        <v>69</v>
      </c>
      <c r="N716" s="1" t="s">
        <v>72</v>
      </c>
      <c r="O716" s="1" t="s">
        <v>598</v>
      </c>
      <c r="P716" s="1" t="s">
        <v>72</v>
      </c>
      <c r="Q716" s="1" t="s">
        <v>593</v>
      </c>
      <c r="R716" s="1" t="s">
        <v>72</v>
      </c>
      <c r="S716" s="1" t="s">
        <v>71</v>
      </c>
      <c r="T716" s="3" t="str">
        <f>Sheet4!H716</f>
        <v xml:space="preserve"> View Map </v>
      </c>
    </row>
    <row r="717" spans="1:20" ht="15" x14ac:dyDescent="0.25">
      <c r="A717" s="1" t="s">
        <v>2960</v>
      </c>
      <c r="B717" s="1" t="s">
        <v>2961</v>
      </c>
      <c r="C717" s="2">
        <v>2005</v>
      </c>
      <c r="D717" s="1" t="s">
        <v>24</v>
      </c>
      <c r="E717" s="2">
        <v>0</v>
      </c>
      <c r="F717" s="1" t="s">
        <v>374</v>
      </c>
      <c r="G717" s="1" t="s">
        <v>2962</v>
      </c>
      <c r="H717" s="2">
        <v>500</v>
      </c>
      <c r="I717" s="2">
        <v>0</v>
      </c>
      <c r="J717" s="1" t="s">
        <v>2963</v>
      </c>
      <c r="K717" s="1" t="s">
        <v>28</v>
      </c>
      <c r="L717" s="1" t="s">
        <v>68</v>
      </c>
      <c r="M717" s="1" t="s">
        <v>69</v>
      </c>
      <c r="N717" s="1" t="s">
        <v>162</v>
      </c>
      <c r="O717" s="1" t="s">
        <v>374</v>
      </c>
      <c r="P717" s="1" t="s">
        <v>162</v>
      </c>
      <c r="Q717" s="1" t="s">
        <v>162</v>
      </c>
      <c r="R717" s="1" t="s">
        <v>162</v>
      </c>
      <c r="S717" s="1" t="s">
        <v>71</v>
      </c>
      <c r="T717" s="3" t="str">
        <f>Sheet4!H717</f>
        <v xml:space="preserve"> View Map </v>
      </c>
    </row>
    <row r="718" spans="1:20" ht="15" x14ac:dyDescent="0.25">
      <c r="A718" s="1" t="s">
        <v>2964</v>
      </c>
      <c r="B718" s="1" t="s">
        <v>2965</v>
      </c>
      <c r="C718" s="2">
        <v>2018</v>
      </c>
      <c r="D718" s="1" t="s">
        <v>24</v>
      </c>
      <c r="E718" s="2">
        <v>1</v>
      </c>
      <c r="F718" s="1" t="s">
        <v>2966</v>
      </c>
      <c r="G718" s="1" t="s">
        <v>2967</v>
      </c>
      <c r="H718" s="2">
        <v>100</v>
      </c>
      <c r="I718" s="2">
        <v>42500</v>
      </c>
      <c r="J718" s="1" t="s">
        <v>2968</v>
      </c>
      <c r="K718" s="2">
        <v>42500</v>
      </c>
      <c r="L718" s="1" t="s">
        <v>68</v>
      </c>
      <c r="M718" s="1" t="s">
        <v>69</v>
      </c>
      <c r="N718" s="1" t="s">
        <v>275</v>
      </c>
      <c r="O718" s="1" t="s">
        <v>407</v>
      </c>
      <c r="P718" s="1" t="s">
        <v>275</v>
      </c>
      <c r="Q718" s="1" t="s">
        <v>402</v>
      </c>
      <c r="R718" s="1" t="s">
        <v>275</v>
      </c>
      <c r="S718" s="1" t="s">
        <v>71</v>
      </c>
      <c r="T718" s="3" t="str">
        <f>Sheet4!H718</f>
        <v xml:space="preserve"> View Map </v>
      </c>
    </row>
    <row r="719" spans="1:20" ht="15" x14ac:dyDescent="0.25">
      <c r="A719" s="1" t="s">
        <v>2969</v>
      </c>
      <c r="B719" s="1" t="s">
        <v>511</v>
      </c>
      <c r="C719" s="2">
        <v>1997</v>
      </c>
      <c r="D719" s="1" t="s">
        <v>24</v>
      </c>
      <c r="E719" s="2">
        <v>1</v>
      </c>
      <c r="F719" s="1" t="s">
        <v>511</v>
      </c>
      <c r="G719" s="1" t="s">
        <v>2970</v>
      </c>
      <c r="H719" s="2">
        <v>181</v>
      </c>
      <c r="I719" s="2">
        <v>74500</v>
      </c>
      <c r="J719" s="1" t="s">
        <v>2971</v>
      </c>
      <c r="K719" s="2">
        <v>74500</v>
      </c>
      <c r="L719" s="1" t="s">
        <v>68</v>
      </c>
      <c r="M719" s="1" t="s">
        <v>69</v>
      </c>
      <c r="N719" s="1" t="s">
        <v>162</v>
      </c>
      <c r="O719" s="1" t="s">
        <v>511</v>
      </c>
      <c r="P719" s="1" t="s">
        <v>162</v>
      </c>
      <c r="Q719" s="1" t="s">
        <v>506</v>
      </c>
      <c r="R719" s="1" t="s">
        <v>162</v>
      </c>
      <c r="S719" s="1" t="s">
        <v>71</v>
      </c>
      <c r="T719" s="3" t="str">
        <f>Sheet4!H719</f>
        <v xml:space="preserve"> View Map </v>
      </c>
    </row>
    <row r="720" spans="1:20" ht="15" x14ac:dyDescent="0.25">
      <c r="A720" s="1" t="s">
        <v>2972</v>
      </c>
      <c r="B720" s="1" t="s">
        <v>2973</v>
      </c>
      <c r="C720" s="2">
        <v>2005</v>
      </c>
      <c r="D720" s="1" t="s">
        <v>24</v>
      </c>
      <c r="E720" s="2">
        <v>0</v>
      </c>
      <c r="F720" s="1" t="s">
        <v>2974</v>
      </c>
      <c r="G720" s="1" t="s">
        <v>2975</v>
      </c>
      <c r="H720" s="2">
        <v>136</v>
      </c>
      <c r="I720" s="2">
        <v>70000</v>
      </c>
      <c r="J720" s="1" t="s">
        <v>2976</v>
      </c>
      <c r="K720" s="1" t="s">
        <v>28</v>
      </c>
      <c r="L720" s="1" t="s">
        <v>68</v>
      </c>
      <c r="M720" s="1" t="s">
        <v>69</v>
      </c>
      <c r="N720" s="1" t="s">
        <v>162</v>
      </c>
      <c r="O720" s="1" t="s">
        <v>1568</v>
      </c>
      <c r="P720" s="1" t="s">
        <v>162</v>
      </c>
      <c r="Q720" s="1" t="s">
        <v>162</v>
      </c>
      <c r="R720" s="1" t="s">
        <v>162</v>
      </c>
      <c r="S720" s="1" t="s">
        <v>71</v>
      </c>
      <c r="T720" s="3" t="str">
        <f>Sheet4!H720</f>
        <v xml:space="preserve"> View Map </v>
      </c>
    </row>
    <row r="721" spans="1:20" ht="15" x14ac:dyDescent="0.25">
      <c r="A721" s="1" t="s">
        <v>2977</v>
      </c>
      <c r="B721" s="1" t="s">
        <v>2978</v>
      </c>
      <c r="C721" s="2">
        <v>2014</v>
      </c>
      <c r="D721" s="1" t="s">
        <v>24</v>
      </c>
      <c r="E721" s="2">
        <v>1</v>
      </c>
      <c r="F721" s="1" t="s">
        <v>2978</v>
      </c>
      <c r="G721" s="1"/>
      <c r="H721" s="2">
        <v>0</v>
      </c>
      <c r="I721" s="2">
        <v>85000</v>
      </c>
      <c r="J721" s="1" t="s">
        <v>2979</v>
      </c>
      <c r="K721" s="2">
        <v>85000</v>
      </c>
      <c r="L721" s="1" t="s">
        <v>68</v>
      </c>
      <c r="M721" s="1" t="s">
        <v>69</v>
      </c>
      <c r="N721" s="1" t="s">
        <v>309</v>
      </c>
      <c r="O721" s="1" t="s">
        <v>2332</v>
      </c>
      <c r="P721" s="1" t="s">
        <v>304</v>
      </c>
      <c r="Q721" s="1" t="s">
        <v>305</v>
      </c>
      <c r="R721" s="1" t="s">
        <v>309</v>
      </c>
      <c r="S721" s="1" t="s">
        <v>71</v>
      </c>
      <c r="T721" s="3" t="str">
        <f>Sheet4!H721</f>
        <v xml:space="preserve"> View Map </v>
      </c>
    </row>
    <row r="722" spans="1:20" ht="15" x14ac:dyDescent="0.25">
      <c r="A722" s="1" t="s">
        <v>2980</v>
      </c>
      <c r="B722" s="1" t="s">
        <v>2981</v>
      </c>
      <c r="C722" s="2">
        <v>2024</v>
      </c>
      <c r="D722" s="1" t="s">
        <v>24</v>
      </c>
      <c r="E722" s="2">
        <v>1</v>
      </c>
      <c r="F722" s="1" t="s">
        <v>2982</v>
      </c>
      <c r="G722" s="1"/>
      <c r="H722" s="2">
        <v>0</v>
      </c>
      <c r="I722" s="2">
        <v>80000</v>
      </c>
      <c r="J722" s="1" t="s">
        <v>2983</v>
      </c>
      <c r="K722" s="2">
        <v>80000</v>
      </c>
      <c r="L722" s="1" t="s">
        <v>68</v>
      </c>
      <c r="M722" s="1" t="s">
        <v>69</v>
      </c>
      <c r="N722" s="1" t="s">
        <v>162</v>
      </c>
      <c r="O722" s="1" t="s">
        <v>374</v>
      </c>
      <c r="P722" s="1" t="s">
        <v>162</v>
      </c>
      <c r="Q722" s="1" t="s">
        <v>162</v>
      </c>
      <c r="R722" s="1" t="s">
        <v>162</v>
      </c>
      <c r="S722" s="1" t="s">
        <v>71</v>
      </c>
      <c r="T722" s="3" t="str">
        <f>Sheet4!H722</f>
        <v xml:space="preserve"> View Map </v>
      </c>
    </row>
    <row r="723" spans="1:20" ht="15" x14ac:dyDescent="0.25">
      <c r="A723" s="1" t="s">
        <v>2984</v>
      </c>
      <c r="B723" s="1" t="s">
        <v>2985</v>
      </c>
      <c r="C723" s="2">
        <v>2011</v>
      </c>
      <c r="D723" s="1" t="s">
        <v>24</v>
      </c>
      <c r="E723" s="2">
        <v>0</v>
      </c>
      <c r="F723" s="1" t="s">
        <v>41</v>
      </c>
      <c r="G723" s="1"/>
      <c r="H723" s="2">
        <v>0</v>
      </c>
      <c r="I723" s="2">
        <v>41000</v>
      </c>
      <c r="J723" s="1" t="s">
        <v>2986</v>
      </c>
      <c r="K723" s="2">
        <v>41000</v>
      </c>
      <c r="L723" s="1" t="s">
        <v>51</v>
      </c>
      <c r="M723" s="1" t="s">
        <v>52</v>
      </c>
      <c r="N723" s="1" t="s">
        <v>20</v>
      </c>
      <c r="O723" s="1" t="s">
        <v>31</v>
      </c>
      <c r="P723" s="1" t="s">
        <v>20</v>
      </c>
      <c r="Q723" s="1" t="s">
        <v>33</v>
      </c>
      <c r="R723" s="1" t="s">
        <v>174</v>
      </c>
      <c r="S723" s="1" t="s">
        <v>71</v>
      </c>
      <c r="T723" s="3" t="str">
        <f>Sheet4!H723</f>
        <v xml:space="preserve"> View Map </v>
      </c>
    </row>
    <row r="724" spans="1:20" ht="15" x14ac:dyDescent="0.25">
      <c r="A724" s="1" t="s">
        <v>2987</v>
      </c>
      <c r="B724" s="1" t="s">
        <v>2988</v>
      </c>
      <c r="C724" s="2">
        <v>2024</v>
      </c>
      <c r="D724" s="1" t="s">
        <v>24</v>
      </c>
      <c r="E724" s="2">
        <v>1</v>
      </c>
      <c r="F724" s="1" t="s">
        <v>2989</v>
      </c>
      <c r="G724" s="1" t="s">
        <v>2990</v>
      </c>
      <c r="H724" s="2">
        <v>0</v>
      </c>
      <c r="I724" s="2">
        <v>26500</v>
      </c>
      <c r="J724" s="1" t="s">
        <v>2991</v>
      </c>
      <c r="K724" s="2">
        <v>26500</v>
      </c>
      <c r="L724" s="1" t="s">
        <v>68</v>
      </c>
      <c r="M724" s="1" t="s">
        <v>69</v>
      </c>
      <c r="N724" s="1" t="s">
        <v>162</v>
      </c>
      <c r="O724" s="1" t="s">
        <v>374</v>
      </c>
      <c r="P724" s="1" t="s">
        <v>162</v>
      </c>
      <c r="Q724" s="1" t="s">
        <v>162</v>
      </c>
      <c r="R724" s="1" t="s">
        <v>162</v>
      </c>
      <c r="S724" s="1" t="s">
        <v>71</v>
      </c>
      <c r="T724" s="3" t="str">
        <f>Sheet4!H724</f>
        <v xml:space="preserve"> View Map </v>
      </c>
    </row>
    <row r="725" spans="1:20" ht="15" x14ac:dyDescent="0.25">
      <c r="A725" s="1" t="s">
        <v>2992</v>
      </c>
      <c r="B725" s="1" t="s">
        <v>2993</v>
      </c>
      <c r="C725" s="2">
        <v>2020</v>
      </c>
      <c r="D725" s="1" t="s">
        <v>24</v>
      </c>
      <c r="E725" s="2">
        <v>1</v>
      </c>
      <c r="F725" s="1" t="s">
        <v>2994</v>
      </c>
      <c r="G725" s="1" t="s">
        <v>2994</v>
      </c>
      <c r="H725" s="2">
        <v>0</v>
      </c>
      <c r="I725" s="2">
        <v>80000</v>
      </c>
      <c r="J725" s="1" t="s">
        <v>2995</v>
      </c>
      <c r="K725" s="2">
        <v>80000</v>
      </c>
      <c r="L725" s="1" t="s">
        <v>68</v>
      </c>
      <c r="M725" s="1" t="s">
        <v>69</v>
      </c>
      <c r="N725" s="1" t="s">
        <v>162</v>
      </c>
      <c r="O725" s="1" t="s">
        <v>1568</v>
      </c>
      <c r="P725" s="1" t="s">
        <v>162</v>
      </c>
      <c r="Q725" s="1" t="s">
        <v>162</v>
      </c>
      <c r="R725" s="1" t="s">
        <v>162</v>
      </c>
      <c r="S725" s="1" t="s">
        <v>71</v>
      </c>
      <c r="T725" s="3" t="str">
        <f>Sheet4!H725</f>
        <v xml:space="preserve"> View Map </v>
      </c>
    </row>
    <row r="726" spans="1:20" ht="15" x14ac:dyDescent="0.25">
      <c r="A726" s="1" t="s">
        <v>2996</v>
      </c>
      <c r="B726" s="1" t="s">
        <v>2997</v>
      </c>
      <c r="C726" s="2">
        <v>2005</v>
      </c>
      <c r="D726" s="1" t="s">
        <v>24</v>
      </c>
      <c r="E726" s="2">
        <v>0</v>
      </c>
      <c r="F726" s="1" t="s">
        <v>2998</v>
      </c>
      <c r="G726" s="1" t="s">
        <v>2998</v>
      </c>
      <c r="H726" s="2">
        <v>25</v>
      </c>
      <c r="I726" s="2">
        <v>0</v>
      </c>
      <c r="J726" s="1" t="s">
        <v>2999</v>
      </c>
      <c r="K726" s="1" t="s">
        <v>28</v>
      </c>
      <c r="L726" s="1" t="s">
        <v>68</v>
      </c>
      <c r="M726" s="1" t="s">
        <v>69</v>
      </c>
      <c r="N726" s="1" t="s">
        <v>309</v>
      </c>
      <c r="O726" s="1" t="s">
        <v>437</v>
      </c>
      <c r="P726" s="1" t="s">
        <v>304</v>
      </c>
      <c r="Q726" s="1" t="s">
        <v>432</v>
      </c>
      <c r="R726" s="1" t="s">
        <v>309</v>
      </c>
      <c r="S726" s="1" t="s">
        <v>71</v>
      </c>
      <c r="T726" s="3" t="str">
        <f>Sheet4!H726</f>
        <v xml:space="preserve"> View Map </v>
      </c>
    </row>
    <row r="727" spans="1:20" ht="15" x14ac:dyDescent="0.25">
      <c r="A727" s="1" t="s">
        <v>3000</v>
      </c>
      <c r="B727" s="1" t="s">
        <v>3001</v>
      </c>
      <c r="C727" s="2">
        <v>2024</v>
      </c>
      <c r="D727" s="1" t="s">
        <v>24</v>
      </c>
      <c r="E727" s="2">
        <v>1</v>
      </c>
      <c r="F727" s="1" t="s">
        <v>3002</v>
      </c>
      <c r="G727" s="1" t="s">
        <v>3003</v>
      </c>
      <c r="H727" s="2">
        <v>0</v>
      </c>
      <c r="I727" s="2">
        <v>26000</v>
      </c>
      <c r="J727" s="1" t="s">
        <v>3004</v>
      </c>
      <c r="K727" s="2">
        <v>16750</v>
      </c>
      <c r="L727" s="1" t="s">
        <v>68</v>
      </c>
      <c r="M727" s="1" t="s">
        <v>69</v>
      </c>
      <c r="N727" s="1" t="s">
        <v>53</v>
      </c>
      <c r="O727" s="1" t="s">
        <v>127</v>
      </c>
      <c r="P727" s="1" t="s">
        <v>45</v>
      </c>
      <c r="Q727" s="1" t="s">
        <v>122</v>
      </c>
      <c r="R727" s="1" t="s">
        <v>105</v>
      </c>
      <c r="S727" s="1" t="s">
        <v>71</v>
      </c>
      <c r="T727" s="3" t="str">
        <f>Sheet4!H727</f>
        <v xml:space="preserve"> View Map </v>
      </c>
    </row>
    <row r="728" spans="1:20" ht="15" x14ac:dyDescent="0.25">
      <c r="A728" s="1" t="s">
        <v>3005</v>
      </c>
      <c r="B728" s="1" t="s">
        <v>3006</v>
      </c>
      <c r="C728" s="2">
        <v>2024</v>
      </c>
      <c r="D728" s="1" t="s">
        <v>24</v>
      </c>
      <c r="E728" s="2">
        <v>1</v>
      </c>
      <c r="F728" s="1" t="s">
        <v>3007</v>
      </c>
      <c r="G728" s="1" t="s">
        <v>3008</v>
      </c>
      <c r="H728" s="2">
        <v>250</v>
      </c>
      <c r="I728" s="2">
        <v>45000</v>
      </c>
      <c r="J728" s="1" t="s">
        <v>3009</v>
      </c>
      <c r="K728" s="2">
        <v>45000</v>
      </c>
      <c r="L728" s="1" t="s">
        <v>68</v>
      </c>
      <c r="M728" s="1" t="s">
        <v>69</v>
      </c>
      <c r="N728" s="1" t="s">
        <v>72</v>
      </c>
      <c r="O728" s="1" t="s">
        <v>1211</v>
      </c>
      <c r="P728" s="1" t="s">
        <v>72</v>
      </c>
      <c r="Q728" s="1" t="s">
        <v>2047</v>
      </c>
      <c r="R728" s="1" t="s">
        <v>73</v>
      </c>
      <c r="S728" s="1" t="s">
        <v>71</v>
      </c>
      <c r="T728" s="3" t="str">
        <f>Sheet4!H728</f>
        <v xml:space="preserve"> View Map </v>
      </c>
    </row>
    <row r="729" spans="1:20" ht="15" x14ac:dyDescent="0.25">
      <c r="A729" s="1" t="s">
        <v>3010</v>
      </c>
      <c r="B729" s="1" t="s">
        <v>3011</v>
      </c>
      <c r="C729" s="2">
        <v>2005</v>
      </c>
      <c r="D729" s="1" t="s">
        <v>24</v>
      </c>
      <c r="E729" s="2">
        <v>1</v>
      </c>
      <c r="F729" s="1" t="s">
        <v>3012</v>
      </c>
      <c r="G729" s="1" t="s">
        <v>2224</v>
      </c>
      <c r="H729" s="2">
        <v>0</v>
      </c>
      <c r="I729" s="2">
        <v>111250</v>
      </c>
      <c r="J729" s="1" t="s">
        <v>3013</v>
      </c>
      <c r="K729" s="2">
        <v>111250</v>
      </c>
      <c r="L729" s="1" t="s">
        <v>68</v>
      </c>
      <c r="M729" s="1" t="s">
        <v>69</v>
      </c>
      <c r="N729" s="1" t="s">
        <v>162</v>
      </c>
      <c r="O729" s="1" t="s">
        <v>167</v>
      </c>
      <c r="P729" s="1" t="s">
        <v>162</v>
      </c>
      <c r="Q729" s="1" t="s">
        <v>311</v>
      </c>
      <c r="R729" s="1" t="s">
        <v>162</v>
      </c>
      <c r="S729" s="1" t="s">
        <v>71</v>
      </c>
      <c r="T729" s="3" t="str">
        <f>Sheet4!H729</f>
        <v xml:space="preserve"> View Map </v>
      </c>
    </row>
    <row r="730" spans="1:20" ht="15" x14ac:dyDescent="0.25">
      <c r="A730" s="1" t="s">
        <v>3014</v>
      </c>
      <c r="B730" s="1" t="s">
        <v>3015</v>
      </c>
      <c r="C730" s="2">
        <v>2024</v>
      </c>
      <c r="D730" s="1" t="s">
        <v>24</v>
      </c>
      <c r="E730" s="2">
        <v>1</v>
      </c>
      <c r="F730" s="1" t="s">
        <v>3016</v>
      </c>
      <c r="G730" s="1" t="s">
        <v>3017</v>
      </c>
      <c r="H730" s="2">
        <v>600</v>
      </c>
      <c r="I730" s="2">
        <v>25000</v>
      </c>
      <c r="J730" s="1" t="s">
        <v>3018</v>
      </c>
      <c r="K730" s="2">
        <v>25000</v>
      </c>
      <c r="L730" s="1" t="s">
        <v>68</v>
      </c>
      <c r="M730" s="1" t="s">
        <v>69</v>
      </c>
      <c r="N730" s="1" t="s">
        <v>72</v>
      </c>
      <c r="O730" s="1" t="s">
        <v>1211</v>
      </c>
      <c r="P730" s="1" t="s">
        <v>72</v>
      </c>
      <c r="Q730" s="1" t="s">
        <v>639</v>
      </c>
      <c r="R730" s="1" t="s">
        <v>645</v>
      </c>
      <c r="S730" s="1" t="s">
        <v>71</v>
      </c>
      <c r="T730" s="3" t="str">
        <f>Sheet4!H730</f>
        <v xml:space="preserve"> View Map </v>
      </c>
    </row>
    <row r="731" spans="1:20" ht="15" x14ac:dyDescent="0.25">
      <c r="A731" s="1" t="s">
        <v>3019</v>
      </c>
      <c r="B731" s="1" t="s">
        <v>3020</v>
      </c>
      <c r="C731" s="2">
        <v>2021</v>
      </c>
      <c r="D731" s="1" t="s">
        <v>24</v>
      </c>
      <c r="E731" s="2">
        <v>1</v>
      </c>
      <c r="F731" s="1" t="s">
        <v>3021</v>
      </c>
      <c r="G731" s="1" t="s">
        <v>3022</v>
      </c>
      <c r="H731" s="2">
        <v>70</v>
      </c>
      <c r="I731" s="2">
        <v>315000</v>
      </c>
      <c r="J731" s="1" t="s">
        <v>3023</v>
      </c>
      <c r="K731" s="2">
        <v>315000</v>
      </c>
      <c r="L731" s="1" t="s">
        <v>68</v>
      </c>
      <c r="M731" s="1" t="s">
        <v>69</v>
      </c>
      <c r="N731" s="1" t="s">
        <v>309</v>
      </c>
      <c r="O731" s="1" t="s">
        <v>2332</v>
      </c>
      <c r="P731" s="1" t="s">
        <v>304</v>
      </c>
      <c r="Q731" s="1" t="s">
        <v>305</v>
      </c>
      <c r="R731" s="1" t="s">
        <v>309</v>
      </c>
      <c r="S731" s="1" t="s">
        <v>71</v>
      </c>
      <c r="T731" s="3" t="str">
        <f>Sheet4!H731</f>
        <v xml:space="preserve"> View Map </v>
      </c>
    </row>
    <row r="732" spans="1:20" ht="15" x14ac:dyDescent="0.25">
      <c r="A732" s="1" t="s">
        <v>3024</v>
      </c>
      <c r="B732" s="1" t="s">
        <v>3025</v>
      </c>
      <c r="C732" s="2">
        <v>2016</v>
      </c>
      <c r="D732" s="1" t="s">
        <v>24</v>
      </c>
      <c r="E732" s="2">
        <v>1</v>
      </c>
      <c r="F732" s="1" t="s">
        <v>3026</v>
      </c>
      <c r="G732" s="1" t="s">
        <v>3027</v>
      </c>
      <c r="H732" s="2">
        <v>540</v>
      </c>
      <c r="I732" s="2">
        <v>50000</v>
      </c>
      <c r="J732" s="1" t="s">
        <v>3028</v>
      </c>
      <c r="K732" s="2">
        <v>50000</v>
      </c>
      <c r="L732" s="1" t="s">
        <v>68</v>
      </c>
      <c r="M732" s="1" t="s">
        <v>69</v>
      </c>
      <c r="N732" s="1" t="s">
        <v>162</v>
      </c>
      <c r="O732" s="1" t="s">
        <v>360</v>
      </c>
      <c r="P732" s="1" t="s">
        <v>162</v>
      </c>
      <c r="Q732" s="1" t="s">
        <v>355</v>
      </c>
      <c r="R732" s="1" t="s">
        <v>162</v>
      </c>
      <c r="S732" s="1" t="s">
        <v>71</v>
      </c>
      <c r="T732" s="3" t="str">
        <f>Sheet4!H732</f>
        <v xml:space="preserve"> View Map </v>
      </c>
    </row>
    <row r="733" spans="1:20" ht="15" x14ac:dyDescent="0.25">
      <c r="A733" s="1" t="s">
        <v>3029</v>
      </c>
      <c r="B733" s="1" t="s">
        <v>3030</v>
      </c>
      <c r="C733" s="2">
        <v>2024</v>
      </c>
      <c r="D733" s="1" t="s">
        <v>24</v>
      </c>
      <c r="E733" s="2">
        <v>1</v>
      </c>
      <c r="F733" s="1" t="s">
        <v>3031</v>
      </c>
      <c r="G733" s="1"/>
      <c r="H733" s="2">
        <v>0</v>
      </c>
      <c r="I733" s="2">
        <v>95000</v>
      </c>
      <c r="J733" s="1" t="s">
        <v>3032</v>
      </c>
      <c r="K733" s="2">
        <v>95000</v>
      </c>
      <c r="L733" s="1" t="s">
        <v>68</v>
      </c>
      <c r="M733" s="1" t="s">
        <v>69</v>
      </c>
      <c r="N733" s="1" t="s">
        <v>162</v>
      </c>
      <c r="O733" s="1" t="s">
        <v>1568</v>
      </c>
      <c r="P733" s="1" t="s">
        <v>162</v>
      </c>
      <c r="Q733" s="1" t="s">
        <v>162</v>
      </c>
      <c r="R733" s="1" t="s">
        <v>162</v>
      </c>
      <c r="S733" s="1" t="s">
        <v>71</v>
      </c>
      <c r="T733" s="3" t="str">
        <f>Sheet4!H733</f>
        <v xml:space="preserve"> View Map </v>
      </c>
    </row>
    <row r="734" spans="1:20" ht="15" x14ac:dyDescent="0.25">
      <c r="A734" s="1" t="s">
        <v>3033</v>
      </c>
      <c r="B734" s="1" t="s">
        <v>3034</v>
      </c>
      <c r="C734" s="2">
        <v>2024</v>
      </c>
      <c r="D734" s="1" t="s">
        <v>24</v>
      </c>
      <c r="E734" s="2">
        <v>1</v>
      </c>
      <c r="F734" s="1" t="s">
        <v>3035</v>
      </c>
      <c r="G734" s="1" t="s">
        <v>3035</v>
      </c>
      <c r="H734" s="2">
        <v>350</v>
      </c>
      <c r="I734" s="2">
        <v>30000</v>
      </c>
      <c r="J734" s="1" t="s">
        <v>3036</v>
      </c>
      <c r="K734" s="2">
        <v>30000</v>
      </c>
      <c r="L734" s="1" t="s">
        <v>68</v>
      </c>
      <c r="M734" s="1" t="s">
        <v>69</v>
      </c>
      <c r="N734" s="1" t="s">
        <v>72</v>
      </c>
      <c r="O734" s="1" t="s">
        <v>598</v>
      </c>
      <c r="P734" s="1" t="s">
        <v>72</v>
      </c>
      <c r="Q734" s="1" t="s">
        <v>593</v>
      </c>
      <c r="R734" s="1" t="s">
        <v>72</v>
      </c>
      <c r="S734" s="1" t="s">
        <v>71</v>
      </c>
      <c r="T734" s="3" t="str">
        <f>Sheet4!H734</f>
        <v xml:space="preserve"> View Map </v>
      </c>
    </row>
    <row r="735" spans="1:20" ht="15" x14ac:dyDescent="0.25">
      <c r="A735" s="1" t="s">
        <v>3037</v>
      </c>
      <c r="B735" s="1" t="s">
        <v>3038</v>
      </c>
      <c r="C735" s="2">
        <v>1999</v>
      </c>
      <c r="D735" s="1" t="s">
        <v>24</v>
      </c>
      <c r="E735" s="2">
        <v>0</v>
      </c>
      <c r="F735" s="1" t="s">
        <v>3039</v>
      </c>
      <c r="G735" s="1" t="s">
        <v>3039</v>
      </c>
      <c r="H735" s="2">
        <v>160</v>
      </c>
      <c r="I735" s="2">
        <v>40000</v>
      </c>
      <c r="J735" s="1" t="s">
        <v>3040</v>
      </c>
      <c r="K735" s="2">
        <v>40000</v>
      </c>
      <c r="L735" s="1" t="s">
        <v>68</v>
      </c>
      <c r="M735" s="1" t="s">
        <v>69</v>
      </c>
      <c r="N735" s="1" t="s">
        <v>72</v>
      </c>
      <c r="O735" s="1" t="s">
        <v>2038</v>
      </c>
      <c r="P735" s="1" t="s">
        <v>72</v>
      </c>
      <c r="Q735" s="1" t="s">
        <v>593</v>
      </c>
      <c r="R735" s="1" t="s">
        <v>72</v>
      </c>
      <c r="S735" s="1" t="s">
        <v>71</v>
      </c>
      <c r="T735" s="3" t="str">
        <f>Sheet4!H735</f>
        <v xml:space="preserve"> View Map </v>
      </c>
    </row>
    <row r="736" spans="1:20" ht="15" x14ac:dyDescent="0.25">
      <c r="A736" s="1" t="s">
        <v>3041</v>
      </c>
      <c r="B736" s="1" t="s">
        <v>3042</v>
      </c>
      <c r="C736" s="2">
        <v>2024</v>
      </c>
      <c r="D736" s="1" t="s">
        <v>24</v>
      </c>
      <c r="E736" s="2">
        <v>1</v>
      </c>
      <c r="F736" s="1" t="s">
        <v>3043</v>
      </c>
      <c r="G736" s="1" t="s">
        <v>3044</v>
      </c>
      <c r="H736" s="2">
        <v>100</v>
      </c>
      <c r="I736" s="2">
        <v>75000</v>
      </c>
      <c r="J736" s="1" t="s">
        <v>3045</v>
      </c>
      <c r="K736" s="2">
        <v>75000</v>
      </c>
      <c r="L736" s="1" t="s">
        <v>68</v>
      </c>
      <c r="M736" s="1" t="s">
        <v>69</v>
      </c>
      <c r="N736" s="1" t="s">
        <v>162</v>
      </c>
      <c r="O736" s="1" t="s">
        <v>770</v>
      </c>
      <c r="P736" s="1" t="s">
        <v>162</v>
      </c>
      <c r="Q736" s="1" t="s">
        <v>506</v>
      </c>
      <c r="R736" s="1" t="s">
        <v>162</v>
      </c>
      <c r="S736" s="1" t="s">
        <v>71</v>
      </c>
      <c r="T736" s="3" t="str">
        <f>Sheet4!H736</f>
        <v xml:space="preserve"> View Map </v>
      </c>
    </row>
    <row r="737" spans="1:20" ht="15" x14ac:dyDescent="0.25">
      <c r="A737" s="1" t="s">
        <v>3046</v>
      </c>
      <c r="B737" s="1" t="s">
        <v>3047</v>
      </c>
      <c r="C737" s="2">
        <v>2020</v>
      </c>
      <c r="D737" s="1" t="s">
        <v>24</v>
      </c>
      <c r="E737" s="2">
        <v>1</v>
      </c>
      <c r="F737" s="1" t="s">
        <v>3048</v>
      </c>
      <c r="G737" s="1" t="s">
        <v>3049</v>
      </c>
      <c r="H737" s="2">
        <v>100</v>
      </c>
      <c r="I737" s="2">
        <v>48000</v>
      </c>
      <c r="J737" s="1" t="s">
        <v>3050</v>
      </c>
      <c r="K737" s="2">
        <v>48000</v>
      </c>
      <c r="L737" s="1" t="s">
        <v>68</v>
      </c>
      <c r="M737" s="1" t="s">
        <v>69</v>
      </c>
      <c r="N737" s="1" t="s">
        <v>309</v>
      </c>
      <c r="O737" s="1" t="s">
        <v>1226</v>
      </c>
      <c r="P737" s="1" t="s">
        <v>304</v>
      </c>
      <c r="Q737" s="1" t="s">
        <v>432</v>
      </c>
      <c r="R737" s="1" t="s">
        <v>309</v>
      </c>
      <c r="S737" s="1" t="s">
        <v>71</v>
      </c>
      <c r="T737" s="3" t="str">
        <f>Sheet4!H737</f>
        <v xml:space="preserve"> View Map </v>
      </c>
    </row>
    <row r="738" spans="1:20" ht="15" x14ac:dyDescent="0.25">
      <c r="A738" s="1" t="s">
        <v>3051</v>
      </c>
      <c r="B738" s="1" t="s">
        <v>3052</v>
      </c>
      <c r="C738" s="2">
        <v>2005</v>
      </c>
      <c r="D738" s="1" t="s">
        <v>24</v>
      </c>
      <c r="E738" s="2">
        <v>1</v>
      </c>
      <c r="F738" s="1" t="s">
        <v>3053</v>
      </c>
      <c r="G738" s="1" t="s">
        <v>3054</v>
      </c>
      <c r="H738" s="2">
        <v>150</v>
      </c>
      <c r="I738" s="2">
        <v>75000</v>
      </c>
      <c r="J738" s="1" t="s">
        <v>3055</v>
      </c>
      <c r="K738" s="2">
        <v>75000</v>
      </c>
      <c r="L738" s="1" t="s">
        <v>68</v>
      </c>
      <c r="M738" s="1" t="s">
        <v>69</v>
      </c>
      <c r="N738" s="1" t="s">
        <v>275</v>
      </c>
      <c r="O738" s="1" t="s">
        <v>391</v>
      </c>
      <c r="P738" s="1" t="s">
        <v>304</v>
      </c>
      <c r="Q738" s="1" t="s">
        <v>386</v>
      </c>
      <c r="R738" s="1" t="s">
        <v>275</v>
      </c>
      <c r="S738" s="1" t="s">
        <v>71</v>
      </c>
      <c r="T738" s="3" t="str">
        <f>Sheet4!H738</f>
        <v xml:space="preserve"> View Map </v>
      </c>
    </row>
    <row r="739" spans="1:20" ht="15" x14ac:dyDescent="0.25">
      <c r="A739" s="1" t="s">
        <v>3056</v>
      </c>
      <c r="B739" s="1" t="s">
        <v>3057</v>
      </c>
      <c r="C739" s="2">
        <v>2023</v>
      </c>
      <c r="D739" s="1" t="s">
        <v>24</v>
      </c>
      <c r="E739" s="2">
        <v>1</v>
      </c>
      <c r="F739" s="1" t="s">
        <v>3058</v>
      </c>
      <c r="G739" s="1" t="s">
        <v>3058</v>
      </c>
      <c r="H739" s="2">
        <v>400</v>
      </c>
      <c r="I739" s="2">
        <v>33600</v>
      </c>
      <c r="J739" s="1" t="s">
        <v>1064</v>
      </c>
      <c r="K739" s="2">
        <v>76500</v>
      </c>
      <c r="L739" s="1" t="s">
        <v>68</v>
      </c>
      <c r="M739" s="1" t="s">
        <v>69</v>
      </c>
      <c r="N739" s="1" t="s">
        <v>72</v>
      </c>
      <c r="O739" s="1" t="s">
        <v>78</v>
      </c>
      <c r="P739" s="1" t="s">
        <v>72</v>
      </c>
      <c r="Q739" s="1" t="s">
        <v>73</v>
      </c>
      <c r="R739" s="1" t="s">
        <v>73</v>
      </c>
      <c r="S739" s="1" t="s">
        <v>71</v>
      </c>
      <c r="T739" s="3" t="str">
        <f>Sheet4!H739</f>
        <v xml:space="preserve"> View Map </v>
      </c>
    </row>
    <row r="740" spans="1:20" ht="15" x14ac:dyDescent="0.25">
      <c r="A740" s="1" t="s">
        <v>3059</v>
      </c>
      <c r="B740" s="1" t="s">
        <v>3060</v>
      </c>
      <c r="C740" s="2">
        <v>2025</v>
      </c>
      <c r="D740" s="1" t="s">
        <v>24</v>
      </c>
      <c r="E740" s="2">
        <v>1</v>
      </c>
      <c r="F740" s="1" t="s">
        <v>3061</v>
      </c>
      <c r="G740" s="1" t="s">
        <v>3061</v>
      </c>
      <c r="H740" s="2">
        <v>200</v>
      </c>
      <c r="I740" s="2">
        <v>26500</v>
      </c>
      <c r="J740" s="1" t="s">
        <v>3062</v>
      </c>
      <c r="K740" s="2">
        <v>26500</v>
      </c>
      <c r="L740" s="1" t="s">
        <v>68</v>
      </c>
      <c r="M740" s="1" t="s">
        <v>69</v>
      </c>
      <c r="N740" s="1" t="s">
        <v>275</v>
      </c>
      <c r="O740" s="1" t="s">
        <v>354</v>
      </c>
      <c r="P740" s="1" t="s">
        <v>275</v>
      </c>
      <c r="Q740" s="1" t="s">
        <v>348</v>
      </c>
      <c r="R740" s="1" t="s">
        <v>275</v>
      </c>
      <c r="S740" s="1" t="s">
        <v>71</v>
      </c>
      <c r="T740" s="3" t="str">
        <f>Sheet4!H740</f>
        <v xml:space="preserve"> View Map </v>
      </c>
    </row>
    <row r="741" spans="1:20" ht="15" x14ac:dyDescent="0.25">
      <c r="A741" s="1" t="s">
        <v>3063</v>
      </c>
      <c r="B741" s="1" t="s">
        <v>3064</v>
      </c>
      <c r="C741" s="2">
        <v>2005</v>
      </c>
      <c r="D741" s="1" t="s">
        <v>24</v>
      </c>
      <c r="E741" s="2">
        <v>1</v>
      </c>
      <c r="F741" s="1" t="s">
        <v>3065</v>
      </c>
      <c r="G741" s="1" t="s">
        <v>3066</v>
      </c>
      <c r="H741" s="2">
        <v>250</v>
      </c>
      <c r="I741" s="2">
        <v>39000</v>
      </c>
      <c r="J741" s="1" t="s">
        <v>3067</v>
      </c>
      <c r="K741" s="2">
        <v>39000</v>
      </c>
      <c r="L741" s="1" t="s">
        <v>68</v>
      </c>
      <c r="M741" s="1" t="s">
        <v>69</v>
      </c>
      <c r="N741" s="1" t="s">
        <v>309</v>
      </c>
      <c r="O741" s="1" t="s">
        <v>310</v>
      </c>
      <c r="P741" s="1" t="s">
        <v>304</v>
      </c>
      <c r="Q741" s="1" t="s">
        <v>305</v>
      </c>
      <c r="R741" s="1" t="s">
        <v>309</v>
      </c>
      <c r="S741" s="1" t="s">
        <v>71</v>
      </c>
      <c r="T741" s="3" t="str">
        <f>Sheet4!H741</f>
        <v xml:space="preserve"> View Map </v>
      </c>
    </row>
    <row r="742" spans="1:20" ht="15" x14ac:dyDescent="0.25">
      <c r="A742" s="1" t="s">
        <v>3068</v>
      </c>
      <c r="B742" s="1" t="s">
        <v>3069</v>
      </c>
      <c r="C742" s="2">
        <v>2025</v>
      </c>
      <c r="D742" s="1" t="s">
        <v>24</v>
      </c>
      <c r="E742" s="2">
        <v>1</v>
      </c>
      <c r="F742" s="1" t="s">
        <v>3070</v>
      </c>
      <c r="G742" s="1" t="s">
        <v>3069</v>
      </c>
      <c r="H742" s="2">
        <v>85</v>
      </c>
      <c r="I742" s="2">
        <v>106000</v>
      </c>
      <c r="J742" s="1" t="s">
        <v>3071</v>
      </c>
      <c r="K742" s="2">
        <v>106000</v>
      </c>
      <c r="L742" s="1" t="s">
        <v>68</v>
      </c>
      <c r="M742" s="1" t="s">
        <v>69</v>
      </c>
      <c r="N742" s="1" t="s">
        <v>309</v>
      </c>
      <c r="O742" s="1" t="s">
        <v>2656</v>
      </c>
      <c r="P742" s="1" t="s">
        <v>304</v>
      </c>
      <c r="Q742" s="1" t="s">
        <v>305</v>
      </c>
      <c r="R742" s="1" t="s">
        <v>309</v>
      </c>
      <c r="S742" s="1" t="s">
        <v>71</v>
      </c>
      <c r="T742" s="3" t="str">
        <f>Sheet4!H742</f>
        <v xml:space="preserve"> View Map </v>
      </c>
    </row>
    <row r="743" spans="1:20" ht="15" x14ac:dyDescent="0.25">
      <c r="A743" s="1" t="s">
        <v>3072</v>
      </c>
      <c r="B743" s="1" t="s">
        <v>3073</v>
      </c>
      <c r="C743" s="2">
        <v>2024</v>
      </c>
      <c r="D743" s="1" t="s">
        <v>24</v>
      </c>
      <c r="E743" s="2">
        <v>1</v>
      </c>
      <c r="F743" s="1" t="s">
        <v>3074</v>
      </c>
      <c r="G743" s="1" t="s">
        <v>2122</v>
      </c>
      <c r="H743" s="2">
        <v>310</v>
      </c>
      <c r="I743" s="2">
        <v>57000</v>
      </c>
      <c r="J743" s="1" t="s">
        <v>3075</v>
      </c>
      <c r="K743" s="2">
        <v>57000</v>
      </c>
      <c r="L743" s="1" t="s">
        <v>68</v>
      </c>
      <c r="M743" s="1" t="s">
        <v>69</v>
      </c>
      <c r="N743" s="1" t="s">
        <v>162</v>
      </c>
      <c r="O743" s="1" t="s">
        <v>374</v>
      </c>
      <c r="P743" s="1" t="s">
        <v>162</v>
      </c>
      <c r="Q743" s="1" t="s">
        <v>162</v>
      </c>
      <c r="R743" s="1" t="s">
        <v>162</v>
      </c>
      <c r="S743" s="1" t="s">
        <v>71</v>
      </c>
      <c r="T743" s="3" t="str">
        <f>Sheet4!H743</f>
        <v xml:space="preserve"> View Map </v>
      </c>
    </row>
    <row r="744" spans="1:20" ht="15" x14ac:dyDescent="0.25">
      <c r="A744" s="1" t="s">
        <v>3076</v>
      </c>
      <c r="B744" s="1" t="s">
        <v>3077</v>
      </c>
      <c r="C744" s="2">
        <v>2015</v>
      </c>
      <c r="D744" s="1" t="s">
        <v>24</v>
      </c>
      <c r="E744" s="2">
        <v>1</v>
      </c>
      <c r="F744" s="1" t="s">
        <v>3078</v>
      </c>
      <c r="G744" s="1" t="s">
        <v>3079</v>
      </c>
      <c r="H744" s="2">
        <v>200</v>
      </c>
      <c r="I744" s="2">
        <v>58000</v>
      </c>
      <c r="J744" s="1" t="s">
        <v>3080</v>
      </c>
      <c r="K744" s="2">
        <v>58000</v>
      </c>
      <c r="L744" s="1" t="s">
        <v>68</v>
      </c>
      <c r="M744" s="1" t="s">
        <v>69</v>
      </c>
      <c r="N744" s="1" t="s">
        <v>309</v>
      </c>
      <c r="O744" s="1" t="s">
        <v>918</v>
      </c>
      <c r="P744" s="1" t="s">
        <v>304</v>
      </c>
      <c r="Q744" s="1" t="s">
        <v>432</v>
      </c>
      <c r="R744" s="1" t="s">
        <v>309</v>
      </c>
      <c r="S744" s="1" t="s">
        <v>71</v>
      </c>
      <c r="T744" s="3" t="str">
        <f>Sheet4!H744</f>
        <v xml:space="preserve"> View Map </v>
      </c>
    </row>
    <row r="745" spans="1:20" ht="15" x14ac:dyDescent="0.25">
      <c r="A745" s="1" t="s">
        <v>3081</v>
      </c>
      <c r="B745" s="1" t="s">
        <v>3082</v>
      </c>
      <c r="C745" s="2">
        <v>2016</v>
      </c>
      <c r="D745" s="1" t="s">
        <v>24</v>
      </c>
      <c r="E745" s="2">
        <v>1</v>
      </c>
      <c r="F745" s="1" t="s">
        <v>3083</v>
      </c>
      <c r="G745" s="1" t="s">
        <v>3084</v>
      </c>
      <c r="H745" s="2">
        <v>540</v>
      </c>
      <c r="I745" s="2">
        <v>170000</v>
      </c>
      <c r="J745" s="1" t="s">
        <v>3085</v>
      </c>
      <c r="K745" s="2">
        <v>170000</v>
      </c>
      <c r="L745" s="1" t="s">
        <v>68</v>
      </c>
      <c r="M745" s="1" t="s">
        <v>69</v>
      </c>
      <c r="N745" s="1" t="s">
        <v>162</v>
      </c>
      <c r="O745" s="1" t="s">
        <v>560</v>
      </c>
      <c r="P745" s="1" t="s">
        <v>162</v>
      </c>
      <c r="Q745" s="1" t="s">
        <v>516</v>
      </c>
      <c r="R745" s="1" t="s">
        <v>516</v>
      </c>
      <c r="S745" s="1" t="s">
        <v>71</v>
      </c>
      <c r="T745" s="3" t="str">
        <f>Sheet4!H745</f>
        <v xml:space="preserve"> View Map </v>
      </c>
    </row>
    <row r="746" spans="1:20" ht="15" x14ac:dyDescent="0.25">
      <c r="A746" s="1" t="s">
        <v>3086</v>
      </c>
      <c r="B746" s="1" t="s">
        <v>3087</v>
      </c>
      <c r="C746" s="2">
        <v>2024</v>
      </c>
      <c r="D746" s="1" t="s">
        <v>24</v>
      </c>
      <c r="E746" s="2">
        <v>1</v>
      </c>
      <c r="F746" s="1" t="s">
        <v>3088</v>
      </c>
      <c r="G746" s="1" t="s">
        <v>3088</v>
      </c>
      <c r="H746" s="2">
        <v>0</v>
      </c>
      <c r="I746" s="2">
        <v>40000</v>
      </c>
      <c r="J746" s="1" t="s">
        <v>3089</v>
      </c>
      <c r="K746" s="2">
        <v>40000</v>
      </c>
      <c r="L746" s="1" t="s">
        <v>68</v>
      </c>
      <c r="M746" s="1" t="s">
        <v>69</v>
      </c>
      <c r="N746" s="1" t="s">
        <v>309</v>
      </c>
      <c r="O746" s="1" t="s">
        <v>1226</v>
      </c>
      <c r="P746" s="1" t="s">
        <v>304</v>
      </c>
      <c r="Q746" s="1" t="s">
        <v>432</v>
      </c>
      <c r="R746" s="1" t="s">
        <v>309</v>
      </c>
      <c r="S746" s="1" t="s">
        <v>71</v>
      </c>
      <c r="T746" s="3" t="str">
        <f>Sheet4!H746</f>
        <v xml:space="preserve"> View Map </v>
      </c>
    </row>
    <row r="747" spans="1:20" ht="15" x14ac:dyDescent="0.25">
      <c r="A747" s="1" t="s">
        <v>3090</v>
      </c>
      <c r="B747" s="1" t="s">
        <v>3091</v>
      </c>
      <c r="C747" s="2">
        <v>2024</v>
      </c>
      <c r="D747" s="1" t="s">
        <v>24</v>
      </c>
      <c r="E747" s="2">
        <v>1</v>
      </c>
      <c r="F747" s="1" t="s">
        <v>3092</v>
      </c>
      <c r="G747" s="1" t="s">
        <v>3093</v>
      </c>
      <c r="H747" s="2">
        <v>250</v>
      </c>
      <c r="I747" s="2">
        <v>35000</v>
      </c>
      <c r="J747" s="1" t="s">
        <v>3094</v>
      </c>
      <c r="K747" s="2">
        <v>35000</v>
      </c>
      <c r="L747" s="1" t="s">
        <v>68</v>
      </c>
      <c r="M747" s="1" t="s">
        <v>69</v>
      </c>
      <c r="N747" s="1" t="s">
        <v>72</v>
      </c>
      <c r="O747" s="1" t="s">
        <v>115</v>
      </c>
      <c r="P747" s="1" t="s">
        <v>72</v>
      </c>
      <c r="Q747" s="1" t="s">
        <v>639</v>
      </c>
      <c r="R747" s="1" t="s">
        <v>645</v>
      </c>
      <c r="S747" s="1" t="s">
        <v>71</v>
      </c>
      <c r="T747" s="3" t="str">
        <f>Sheet4!H747</f>
        <v xml:space="preserve"> View Map </v>
      </c>
    </row>
    <row r="748" spans="1:20" ht="15" x14ac:dyDescent="0.25">
      <c r="A748" s="1" t="s">
        <v>3095</v>
      </c>
      <c r="B748" s="1" t="s">
        <v>3096</v>
      </c>
      <c r="C748" s="2">
        <v>2017</v>
      </c>
      <c r="D748" s="1" t="s">
        <v>24</v>
      </c>
      <c r="E748" s="2">
        <v>1</v>
      </c>
      <c r="F748" s="1" t="s">
        <v>3097</v>
      </c>
      <c r="G748" s="1" t="s">
        <v>3098</v>
      </c>
      <c r="H748" s="2">
        <v>200</v>
      </c>
      <c r="I748" s="2">
        <v>55000</v>
      </c>
      <c r="J748" s="1" t="s">
        <v>3099</v>
      </c>
      <c r="K748" s="2">
        <v>55000</v>
      </c>
      <c r="L748" s="1" t="s">
        <v>68</v>
      </c>
      <c r="M748" s="1" t="s">
        <v>69</v>
      </c>
      <c r="N748" s="1" t="s">
        <v>162</v>
      </c>
      <c r="O748" s="1" t="s">
        <v>511</v>
      </c>
      <c r="P748" s="1" t="s">
        <v>162</v>
      </c>
      <c r="Q748" s="1" t="s">
        <v>506</v>
      </c>
      <c r="R748" s="1" t="s">
        <v>220</v>
      </c>
      <c r="S748" s="1" t="s">
        <v>71</v>
      </c>
      <c r="T748" s="3" t="str">
        <f>Sheet4!H748</f>
        <v xml:space="preserve"> View Map </v>
      </c>
    </row>
    <row r="749" spans="1:20" ht="15" x14ac:dyDescent="0.25">
      <c r="A749" s="1" t="s">
        <v>3100</v>
      </c>
      <c r="B749" s="1" t="s">
        <v>3101</v>
      </c>
      <c r="C749" s="2">
        <v>2024</v>
      </c>
      <c r="D749" s="1" t="s">
        <v>24</v>
      </c>
      <c r="E749" s="2">
        <v>1</v>
      </c>
      <c r="F749" s="1" t="s">
        <v>3102</v>
      </c>
      <c r="G749" s="1" t="s">
        <v>3102</v>
      </c>
      <c r="H749" s="2">
        <v>200</v>
      </c>
      <c r="I749" s="2">
        <v>36500</v>
      </c>
      <c r="J749" s="1" t="s">
        <v>3103</v>
      </c>
      <c r="K749" s="2">
        <v>36500</v>
      </c>
      <c r="L749" s="1" t="s">
        <v>68</v>
      </c>
      <c r="M749" s="1" t="s">
        <v>69</v>
      </c>
      <c r="N749" s="1" t="s">
        <v>72</v>
      </c>
      <c r="O749" s="1" t="s">
        <v>2038</v>
      </c>
      <c r="P749" s="1" t="s">
        <v>72</v>
      </c>
      <c r="Q749" s="1" t="s">
        <v>593</v>
      </c>
      <c r="R749" s="1" t="s">
        <v>73</v>
      </c>
      <c r="S749" s="1" t="s">
        <v>71</v>
      </c>
      <c r="T749" s="3" t="str">
        <f>Sheet4!H749</f>
        <v xml:space="preserve"> View Map </v>
      </c>
    </row>
    <row r="750" spans="1:20" ht="15" x14ac:dyDescent="0.25">
      <c r="A750" s="1" t="s">
        <v>3104</v>
      </c>
      <c r="B750" s="1" t="s">
        <v>3105</v>
      </c>
      <c r="C750" s="2">
        <v>2024</v>
      </c>
      <c r="D750" s="1" t="s">
        <v>24</v>
      </c>
      <c r="E750" s="2">
        <v>1</v>
      </c>
      <c r="F750" s="1" t="s">
        <v>2141</v>
      </c>
      <c r="G750" s="1" t="s">
        <v>2141</v>
      </c>
      <c r="H750" s="2">
        <v>30</v>
      </c>
      <c r="I750" s="2">
        <v>60000</v>
      </c>
      <c r="J750" s="1" t="s">
        <v>3106</v>
      </c>
      <c r="K750" s="2">
        <v>60000</v>
      </c>
      <c r="L750" s="1" t="s">
        <v>68</v>
      </c>
      <c r="M750" s="1" t="s">
        <v>69</v>
      </c>
      <c r="N750" s="1" t="s">
        <v>275</v>
      </c>
      <c r="O750" s="1" t="s">
        <v>2441</v>
      </c>
      <c r="P750" s="1" t="s">
        <v>275</v>
      </c>
      <c r="Q750" s="1" t="s">
        <v>2132</v>
      </c>
      <c r="R750" s="1" t="s">
        <v>275</v>
      </c>
      <c r="S750" s="1" t="s">
        <v>71</v>
      </c>
      <c r="T750" s="3" t="str">
        <f>Sheet4!H750</f>
        <v xml:space="preserve"> View Map </v>
      </c>
    </row>
    <row r="751" spans="1:20" ht="15" x14ac:dyDescent="0.25">
      <c r="A751" s="1" t="s">
        <v>3107</v>
      </c>
      <c r="B751" s="1" t="s">
        <v>3108</v>
      </c>
      <c r="C751" s="2">
        <v>2005</v>
      </c>
      <c r="D751" s="1" t="s">
        <v>24</v>
      </c>
      <c r="E751" s="2">
        <v>1</v>
      </c>
      <c r="F751" s="1"/>
      <c r="G751" s="1" t="s">
        <v>3109</v>
      </c>
      <c r="H751" s="2">
        <v>1000</v>
      </c>
      <c r="I751" s="2">
        <v>20500</v>
      </c>
      <c r="J751" s="1" t="s">
        <v>3110</v>
      </c>
      <c r="K751" s="2">
        <v>20500</v>
      </c>
      <c r="L751" s="1" t="s">
        <v>68</v>
      </c>
      <c r="M751" s="1" t="s">
        <v>69</v>
      </c>
      <c r="N751" s="1" t="s">
        <v>72</v>
      </c>
      <c r="O751" s="1" t="s">
        <v>78</v>
      </c>
      <c r="P751" s="1" t="s">
        <v>72</v>
      </c>
      <c r="Q751" s="1" t="s">
        <v>2047</v>
      </c>
      <c r="R751" s="1" t="s">
        <v>73</v>
      </c>
      <c r="S751" s="1" t="s">
        <v>71</v>
      </c>
      <c r="T751" s="3" t="str">
        <f>Sheet4!H751</f>
        <v xml:space="preserve"> View Map </v>
      </c>
    </row>
    <row r="752" spans="1:20" ht="15" x14ac:dyDescent="0.25">
      <c r="A752" s="1" t="s">
        <v>3111</v>
      </c>
      <c r="B752" s="1" t="s">
        <v>3112</v>
      </c>
      <c r="C752" s="2">
        <v>2024</v>
      </c>
      <c r="D752" s="1" t="s">
        <v>24</v>
      </c>
      <c r="E752" s="2">
        <v>1</v>
      </c>
      <c r="F752" s="1" t="s">
        <v>3113</v>
      </c>
      <c r="G752" s="1" t="s">
        <v>374</v>
      </c>
      <c r="H752" s="2">
        <v>80</v>
      </c>
      <c r="I752" s="2">
        <v>70000</v>
      </c>
      <c r="J752" s="1" t="s">
        <v>3114</v>
      </c>
      <c r="K752" s="2">
        <v>70000</v>
      </c>
      <c r="L752" s="1" t="s">
        <v>68</v>
      </c>
      <c r="M752" s="1" t="s">
        <v>69</v>
      </c>
      <c r="N752" s="1" t="s">
        <v>162</v>
      </c>
      <c r="O752" s="1" t="s">
        <v>374</v>
      </c>
      <c r="P752" s="1" t="s">
        <v>162</v>
      </c>
      <c r="Q752" s="1" t="s">
        <v>162</v>
      </c>
      <c r="R752" s="1" t="s">
        <v>162</v>
      </c>
      <c r="S752" s="1" t="s">
        <v>71</v>
      </c>
      <c r="T752" s="3" t="str">
        <f>Sheet4!H752</f>
        <v xml:space="preserve"> View Map </v>
      </c>
    </row>
    <row r="753" spans="1:20" ht="15" x14ac:dyDescent="0.25">
      <c r="A753" s="1" t="s">
        <v>3115</v>
      </c>
      <c r="B753" s="1" t="s">
        <v>3116</v>
      </c>
      <c r="C753" s="2">
        <v>2024</v>
      </c>
      <c r="D753" s="1" t="s">
        <v>24</v>
      </c>
      <c r="E753" s="2">
        <v>0</v>
      </c>
      <c r="F753" s="1" t="s">
        <v>3117</v>
      </c>
      <c r="G753" s="1" t="s">
        <v>3116</v>
      </c>
      <c r="H753" s="2">
        <v>400</v>
      </c>
      <c r="I753" s="2">
        <v>38750</v>
      </c>
      <c r="J753" s="1" t="s">
        <v>3118</v>
      </c>
      <c r="K753" s="2">
        <v>38750</v>
      </c>
      <c r="L753" s="1" t="s">
        <v>68</v>
      </c>
      <c r="M753" s="1" t="s">
        <v>69</v>
      </c>
      <c r="N753" s="1" t="s">
        <v>162</v>
      </c>
      <c r="O753" s="1" t="s">
        <v>511</v>
      </c>
      <c r="P753" s="1" t="s">
        <v>162</v>
      </c>
      <c r="Q753" s="1" t="s">
        <v>506</v>
      </c>
      <c r="R753" s="1" t="s">
        <v>162</v>
      </c>
      <c r="S753" s="1" t="s">
        <v>71</v>
      </c>
      <c r="T753" s="3" t="str">
        <f>Sheet4!H753</f>
        <v xml:space="preserve"> View Map </v>
      </c>
    </row>
    <row r="754" spans="1:20" ht="15" x14ac:dyDescent="0.25">
      <c r="A754" s="1" t="s">
        <v>3119</v>
      </c>
      <c r="B754" s="1" t="s">
        <v>3120</v>
      </c>
      <c r="C754" s="2">
        <v>2005</v>
      </c>
      <c r="D754" s="1" t="s">
        <v>24</v>
      </c>
      <c r="E754" s="2">
        <v>0</v>
      </c>
      <c r="F754" s="1" t="s">
        <v>3121</v>
      </c>
      <c r="G754" s="1" t="s">
        <v>3121</v>
      </c>
      <c r="H754" s="2">
        <v>510</v>
      </c>
      <c r="I754" s="2">
        <v>100000</v>
      </c>
      <c r="J754" s="1" t="s">
        <v>3122</v>
      </c>
      <c r="K754" s="2">
        <v>100000</v>
      </c>
      <c r="L754" s="1" t="s">
        <v>68</v>
      </c>
      <c r="M754" s="1" t="s">
        <v>69</v>
      </c>
      <c r="N754" s="1" t="s">
        <v>162</v>
      </c>
      <c r="O754" s="1" t="s">
        <v>693</v>
      </c>
      <c r="P754" s="1" t="s">
        <v>162</v>
      </c>
      <c r="Q754" s="1" t="s">
        <v>516</v>
      </c>
      <c r="R754" s="1" t="s">
        <v>162</v>
      </c>
      <c r="S754" s="1" t="s">
        <v>71</v>
      </c>
      <c r="T754" s="3" t="str">
        <f>Sheet4!H754</f>
        <v xml:space="preserve"> View Map </v>
      </c>
    </row>
    <row r="755" spans="1:20" ht="15" x14ac:dyDescent="0.25">
      <c r="A755" s="1" t="s">
        <v>3123</v>
      </c>
      <c r="B755" s="1" t="s">
        <v>3124</v>
      </c>
      <c r="C755" s="2">
        <v>2000</v>
      </c>
      <c r="D755" s="1" t="s">
        <v>24</v>
      </c>
      <c r="E755" s="2">
        <v>1</v>
      </c>
      <c r="F755" s="1" t="s">
        <v>3125</v>
      </c>
      <c r="G755" s="1" t="s">
        <v>3126</v>
      </c>
      <c r="H755" s="2">
        <v>700</v>
      </c>
      <c r="I755" s="2">
        <v>41000</v>
      </c>
      <c r="J755" s="1" t="s">
        <v>3127</v>
      </c>
      <c r="K755" s="2">
        <v>41000</v>
      </c>
      <c r="L755" s="1" t="s">
        <v>68</v>
      </c>
      <c r="M755" s="1" t="s">
        <v>69</v>
      </c>
      <c r="N755" s="1" t="s">
        <v>72</v>
      </c>
      <c r="O755" s="1" t="s">
        <v>2038</v>
      </c>
      <c r="P755" s="1" t="s">
        <v>72</v>
      </c>
      <c r="Q755" s="1" t="s">
        <v>811</v>
      </c>
      <c r="R755" s="1" t="s">
        <v>72</v>
      </c>
      <c r="S755" s="1" t="s">
        <v>71</v>
      </c>
      <c r="T755" s="3" t="str">
        <f>Sheet4!H755</f>
        <v xml:space="preserve"> View Map </v>
      </c>
    </row>
    <row r="756" spans="1:20" ht="15" x14ac:dyDescent="0.25">
      <c r="A756" s="1" t="s">
        <v>3128</v>
      </c>
      <c r="B756" s="1" t="s">
        <v>3129</v>
      </c>
      <c r="C756" s="2">
        <v>2024</v>
      </c>
      <c r="D756" s="1" t="s">
        <v>24</v>
      </c>
      <c r="E756" s="2">
        <v>1</v>
      </c>
      <c r="F756" s="1" t="s">
        <v>363</v>
      </c>
      <c r="G756" s="1"/>
      <c r="H756" s="2">
        <v>1200</v>
      </c>
      <c r="I756" s="2">
        <v>96620</v>
      </c>
      <c r="J756" s="1" t="s">
        <v>3130</v>
      </c>
      <c r="K756" s="2">
        <v>96620</v>
      </c>
      <c r="L756" s="1" t="s">
        <v>68</v>
      </c>
      <c r="M756" s="1" t="s">
        <v>69</v>
      </c>
      <c r="N756" s="1" t="s">
        <v>162</v>
      </c>
      <c r="O756" s="1" t="s">
        <v>365</v>
      </c>
      <c r="P756" s="1" t="s">
        <v>162</v>
      </c>
      <c r="Q756" s="1" t="s">
        <v>355</v>
      </c>
      <c r="R756" s="1" t="s">
        <v>561</v>
      </c>
      <c r="S756" s="1" t="s">
        <v>71</v>
      </c>
      <c r="T756" s="3" t="str">
        <f>Sheet4!H756</f>
        <v xml:space="preserve"> View Map </v>
      </c>
    </row>
    <row r="757" spans="1:20" ht="15" x14ac:dyDescent="0.25">
      <c r="A757" s="1" t="s">
        <v>3131</v>
      </c>
      <c r="B757" s="1" t="s">
        <v>3132</v>
      </c>
      <c r="C757" s="2">
        <v>2021</v>
      </c>
      <c r="D757" s="1" t="s">
        <v>24</v>
      </c>
      <c r="E757" s="2">
        <v>0</v>
      </c>
      <c r="F757" s="1" t="s">
        <v>3133</v>
      </c>
      <c r="G757" s="1"/>
      <c r="H757" s="2">
        <v>0</v>
      </c>
      <c r="I757" s="2">
        <v>95000</v>
      </c>
      <c r="J757" s="1" t="s">
        <v>3134</v>
      </c>
      <c r="K757" s="2">
        <v>91750</v>
      </c>
      <c r="L757" s="1" t="s">
        <v>68</v>
      </c>
      <c r="M757" s="1" t="s">
        <v>69</v>
      </c>
      <c r="N757" s="1" t="s">
        <v>309</v>
      </c>
      <c r="O757" s="1" t="s">
        <v>1226</v>
      </c>
      <c r="P757" s="1" t="s">
        <v>304</v>
      </c>
      <c r="Q757" s="1" t="s">
        <v>432</v>
      </c>
      <c r="R757" s="1" t="s">
        <v>309</v>
      </c>
      <c r="S757" s="1" t="s">
        <v>71</v>
      </c>
      <c r="T757" s="3" t="str">
        <f>Sheet4!H757</f>
        <v xml:space="preserve"> View Map </v>
      </c>
    </row>
    <row r="758" spans="1:20" ht="15" x14ac:dyDescent="0.25">
      <c r="A758" s="1" t="s">
        <v>3135</v>
      </c>
      <c r="B758" s="1" t="s">
        <v>3136</v>
      </c>
      <c r="C758" s="2">
        <v>0</v>
      </c>
      <c r="D758" s="1" t="s">
        <v>24</v>
      </c>
      <c r="E758" s="2">
        <v>0</v>
      </c>
      <c r="F758" s="1" t="s">
        <v>2940</v>
      </c>
      <c r="G758" s="1"/>
      <c r="H758" s="2">
        <v>1000</v>
      </c>
      <c r="I758" s="2">
        <v>56750</v>
      </c>
      <c r="J758" s="1" t="s">
        <v>3137</v>
      </c>
      <c r="K758" s="1" t="s">
        <v>28</v>
      </c>
      <c r="L758" s="1" t="s">
        <v>68</v>
      </c>
      <c r="M758" s="1" t="s">
        <v>69</v>
      </c>
      <c r="N758" s="1" t="s">
        <v>162</v>
      </c>
      <c r="O758" s="1" t="s">
        <v>511</v>
      </c>
      <c r="P758" s="1" t="s">
        <v>162</v>
      </c>
      <c r="Q758" s="1" t="s">
        <v>506</v>
      </c>
      <c r="R758" s="1" t="s">
        <v>162</v>
      </c>
      <c r="S758" s="1" t="s">
        <v>71</v>
      </c>
      <c r="T758" s="3" t="str">
        <f>Sheet4!H758</f>
        <v xml:space="preserve"> View Map </v>
      </c>
    </row>
    <row r="759" spans="1:20" ht="15" x14ac:dyDescent="0.25">
      <c r="A759" s="1" t="s">
        <v>3138</v>
      </c>
      <c r="B759" s="1" t="s">
        <v>3139</v>
      </c>
      <c r="C759" s="2">
        <v>2024</v>
      </c>
      <c r="D759" s="1" t="s">
        <v>24</v>
      </c>
      <c r="E759" s="2">
        <v>1</v>
      </c>
      <c r="F759" s="1" t="s">
        <v>3140</v>
      </c>
      <c r="G759" s="1"/>
      <c r="H759" s="2">
        <v>0</v>
      </c>
      <c r="I759" s="2">
        <v>35000</v>
      </c>
      <c r="J759" s="1" t="s">
        <v>3141</v>
      </c>
      <c r="K759" s="2">
        <v>25500</v>
      </c>
      <c r="L759" s="1" t="s">
        <v>68</v>
      </c>
      <c r="M759" s="1" t="s">
        <v>69</v>
      </c>
      <c r="N759" s="1" t="s">
        <v>275</v>
      </c>
      <c r="O759" s="1" t="s">
        <v>1833</v>
      </c>
      <c r="P759" s="1" t="s">
        <v>275</v>
      </c>
      <c r="Q759" s="1" t="s">
        <v>275</v>
      </c>
      <c r="R759" s="1" t="s">
        <v>275</v>
      </c>
      <c r="S759" s="1" t="s">
        <v>71</v>
      </c>
      <c r="T759" s="3" t="str">
        <f>Sheet4!H759</f>
        <v xml:space="preserve"> View Map </v>
      </c>
    </row>
    <row r="760" spans="1:20" ht="15" x14ac:dyDescent="0.25">
      <c r="A760" s="1" t="s">
        <v>3142</v>
      </c>
      <c r="B760" s="1" t="s">
        <v>3143</v>
      </c>
      <c r="C760" s="2">
        <v>2005</v>
      </c>
      <c r="D760" s="1" t="s">
        <v>24</v>
      </c>
      <c r="E760" s="2">
        <v>1</v>
      </c>
      <c r="F760" s="1" t="s">
        <v>3144</v>
      </c>
      <c r="G760" s="1"/>
      <c r="H760" s="2">
        <v>0</v>
      </c>
      <c r="I760" s="2">
        <v>110000</v>
      </c>
      <c r="J760" s="1" t="s">
        <v>3145</v>
      </c>
      <c r="K760" s="2">
        <v>110000</v>
      </c>
      <c r="L760" s="1" t="s">
        <v>68</v>
      </c>
      <c r="M760" s="1" t="s">
        <v>69</v>
      </c>
      <c r="N760" s="1" t="s">
        <v>162</v>
      </c>
      <c r="O760" s="1" t="s">
        <v>28</v>
      </c>
      <c r="P760" s="1" t="s">
        <v>162</v>
      </c>
      <c r="Q760" s="1" t="s">
        <v>355</v>
      </c>
      <c r="R760" s="1" t="s">
        <v>162</v>
      </c>
      <c r="S760" s="1" t="s">
        <v>71</v>
      </c>
      <c r="T760" s="3" t="str">
        <f>Sheet4!H760</f>
        <v xml:space="preserve"> View Map </v>
      </c>
    </row>
    <row r="761" spans="1:20" ht="15" x14ac:dyDescent="0.25">
      <c r="A761" s="1" t="s">
        <v>3146</v>
      </c>
      <c r="B761" s="1" t="s">
        <v>3147</v>
      </c>
      <c r="C761" s="2">
        <v>2024</v>
      </c>
      <c r="D761" s="1" t="s">
        <v>24</v>
      </c>
      <c r="E761" s="2">
        <v>1</v>
      </c>
      <c r="F761" s="1" t="s">
        <v>365</v>
      </c>
      <c r="G761" s="1"/>
      <c r="H761" s="2">
        <v>0</v>
      </c>
      <c r="I761" s="2">
        <v>22500</v>
      </c>
      <c r="J761" s="1" t="s">
        <v>3148</v>
      </c>
      <c r="K761" s="2">
        <v>22500</v>
      </c>
      <c r="L761" s="1" t="s">
        <v>68</v>
      </c>
      <c r="M761" s="1" t="s">
        <v>69</v>
      </c>
      <c r="N761" s="1" t="s">
        <v>162</v>
      </c>
      <c r="O761" s="1" t="s">
        <v>365</v>
      </c>
      <c r="P761" s="1" t="s">
        <v>162</v>
      </c>
      <c r="Q761" s="1" t="s">
        <v>355</v>
      </c>
      <c r="R761" s="1" t="s">
        <v>162</v>
      </c>
      <c r="S761" s="1" t="s">
        <v>299</v>
      </c>
      <c r="T761" s="3" t="str">
        <f>Sheet4!H761</f>
        <v xml:space="preserve"> View Map </v>
      </c>
    </row>
    <row r="762" spans="1:20" ht="15" x14ac:dyDescent="0.25">
      <c r="A762" s="1" t="s">
        <v>3149</v>
      </c>
      <c r="B762" s="1" t="s">
        <v>3150</v>
      </c>
      <c r="C762" s="2">
        <v>2024</v>
      </c>
      <c r="D762" s="1" t="s">
        <v>24</v>
      </c>
      <c r="E762" s="2">
        <v>1</v>
      </c>
      <c r="F762" s="1" t="s">
        <v>3151</v>
      </c>
      <c r="G762" s="1" t="s">
        <v>2196</v>
      </c>
      <c r="H762" s="2">
        <v>60</v>
      </c>
      <c r="I762" s="2">
        <v>80000</v>
      </c>
      <c r="J762" s="1" t="s">
        <v>3152</v>
      </c>
      <c r="K762" s="2">
        <v>80000</v>
      </c>
      <c r="L762" s="1" t="s">
        <v>68</v>
      </c>
      <c r="M762" s="1" t="s">
        <v>69</v>
      </c>
      <c r="N762" s="1" t="s">
        <v>275</v>
      </c>
      <c r="O762" s="1" t="s">
        <v>2137</v>
      </c>
      <c r="P762" s="1" t="s">
        <v>275</v>
      </c>
      <c r="Q762" s="1" t="s">
        <v>2132</v>
      </c>
      <c r="R762" s="1" t="s">
        <v>275</v>
      </c>
      <c r="S762" s="1" t="s">
        <v>71</v>
      </c>
      <c r="T762" s="3" t="str">
        <f>Sheet4!H762</f>
        <v xml:space="preserve"> View Map </v>
      </c>
    </row>
    <row r="763" spans="1:20" ht="15" x14ac:dyDescent="0.25">
      <c r="A763" s="1" t="s">
        <v>3153</v>
      </c>
      <c r="B763" s="1" t="s">
        <v>2308</v>
      </c>
      <c r="C763" s="2">
        <v>2025</v>
      </c>
      <c r="D763" s="1" t="s">
        <v>24</v>
      </c>
      <c r="E763" s="2">
        <v>1</v>
      </c>
      <c r="F763" s="1" t="s">
        <v>3154</v>
      </c>
      <c r="G763" s="1" t="s">
        <v>2308</v>
      </c>
      <c r="H763" s="2">
        <v>375</v>
      </c>
      <c r="I763" s="2">
        <v>38750</v>
      </c>
      <c r="J763" s="1" t="s">
        <v>3155</v>
      </c>
      <c r="K763" s="2">
        <v>38750</v>
      </c>
      <c r="L763" s="1" t="s">
        <v>68</v>
      </c>
      <c r="M763" s="1" t="s">
        <v>69</v>
      </c>
      <c r="N763" s="1" t="s">
        <v>72</v>
      </c>
      <c r="O763" s="1" t="s">
        <v>598</v>
      </c>
      <c r="P763" s="1" t="s">
        <v>72</v>
      </c>
      <c r="Q763" s="1" t="s">
        <v>593</v>
      </c>
      <c r="R763" s="1" t="s">
        <v>73</v>
      </c>
      <c r="S763" s="1" t="s">
        <v>71</v>
      </c>
      <c r="T763" s="3" t="str">
        <f>Sheet4!H763</f>
        <v xml:space="preserve"> View Map </v>
      </c>
    </row>
    <row r="764" spans="1:20" ht="15" x14ac:dyDescent="0.25">
      <c r="A764" s="1" t="s">
        <v>3156</v>
      </c>
      <c r="B764" s="1" t="s">
        <v>3157</v>
      </c>
      <c r="C764" s="2">
        <v>2020</v>
      </c>
      <c r="D764" s="1" t="s">
        <v>24</v>
      </c>
      <c r="E764" s="2">
        <v>1</v>
      </c>
      <c r="F764" s="1" t="s">
        <v>3158</v>
      </c>
      <c r="G764" s="1"/>
      <c r="H764" s="2">
        <v>0</v>
      </c>
      <c r="I764" s="2">
        <v>60000</v>
      </c>
      <c r="J764" s="1" t="s">
        <v>3159</v>
      </c>
      <c r="K764" s="2">
        <v>60000</v>
      </c>
      <c r="L764" s="1" t="s">
        <v>68</v>
      </c>
      <c r="M764" s="1" t="s">
        <v>69</v>
      </c>
      <c r="N764" s="1" t="s">
        <v>72</v>
      </c>
      <c r="O764" s="1" t="s">
        <v>598</v>
      </c>
      <c r="P764" s="1" t="s">
        <v>72</v>
      </c>
      <c r="Q764" s="1" t="s">
        <v>593</v>
      </c>
      <c r="R764" s="1" t="s">
        <v>73</v>
      </c>
      <c r="S764" s="1" t="s">
        <v>71</v>
      </c>
      <c r="T764" s="3" t="str">
        <f>Sheet4!H764</f>
        <v xml:space="preserve"> View Map </v>
      </c>
    </row>
    <row r="765" spans="1:20" ht="15" x14ac:dyDescent="0.25">
      <c r="A765" s="1" t="s">
        <v>3160</v>
      </c>
      <c r="B765" s="1" t="s">
        <v>3161</v>
      </c>
      <c r="C765" s="2">
        <v>2015</v>
      </c>
      <c r="D765" s="1" t="s">
        <v>24</v>
      </c>
      <c r="E765" s="2">
        <v>1</v>
      </c>
      <c r="F765" s="1" t="s">
        <v>3162</v>
      </c>
      <c r="G765" s="1" t="s">
        <v>2135</v>
      </c>
      <c r="H765" s="2">
        <v>150</v>
      </c>
      <c r="I765" s="2">
        <v>61250</v>
      </c>
      <c r="J765" s="1" t="s">
        <v>3163</v>
      </c>
      <c r="K765" s="2">
        <v>61250</v>
      </c>
      <c r="L765" s="1" t="s">
        <v>68</v>
      </c>
      <c r="M765" s="1" t="s">
        <v>69</v>
      </c>
      <c r="N765" s="1" t="s">
        <v>275</v>
      </c>
      <c r="O765" s="1" t="s">
        <v>2137</v>
      </c>
      <c r="P765" s="1" t="s">
        <v>275</v>
      </c>
      <c r="Q765" s="1" t="s">
        <v>2132</v>
      </c>
      <c r="R765" s="1" t="s">
        <v>275</v>
      </c>
      <c r="S765" s="1" t="s">
        <v>71</v>
      </c>
      <c r="T765" s="3" t="str">
        <f>Sheet4!H765</f>
        <v xml:space="preserve"> View Map </v>
      </c>
    </row>
    <row r="766" spans="1:20" ht="15" x14ac:dyDescent="0.25">
      <c r="A766" s="1" t="s">
        <v>3164</v>
      </c>
      <c r="B766" s="1" t="s">
        <v>3165</v>
      </c>
      <c r="C766" s="2">
        <v>2005</v>
      </c>
      <c r="D766" s="1" t="s">
        <v>24</v>
      </c>
      <c r="E766" s="2">
        <v>1</v>
      </c>
      <c r="F766" s="1" t="s">
        <v>3166</v>
      </c>
      <c r="G766" s="1" t="s">
        <v>3166</v>
      </c>
      <c r="H766" s="2">
        <v>550</v>
      </c>
      <c r="I766" s="2">
        <v>35500</v>
      </c>
      <c r="J766" s="1" t="s">
        <v>3167</v>
      </c>
      <c r="K766" s="2">
        <v>35500</v>
      </c>
      <c r="L766" s="1" t="s">
        <v>68</v>
      </c>
      <c r="M766" s="1" t="s">
        <v>69</v>
      </c>
      <c r="N766" s="1" t="s">
        <v>72</v>
      </c>
      <c r="O766" s="1" t="s">
        <v>78</v>
      </c>
      <c r="P766" s="1" t="s">
        <v>72</v>
      </c>
      <c r="Q766" s="1" t="s">
        <v>2047</v>
      </c>
      <c r="R766" s="1" t="s">
        <v>162</v>
      </c>
      <c r="S766" s="1" t="s">
        <v>71</v>
      </c>
      <c r="T766" s="3" t="str">
        <f>Sheet4!H766</f>
        <v xml:space="preserve"> View Map </v>
      </c>
    </row>
    <row r="767" spans="1:20" ht="15" x14ac:dyDescent="0.25">
      <c r="A767" s="1" t="s">
        <v>3168</v>
      </c>
      <c r="B767" s="1" t="s">
        <v>3169</v>
      </c>
      <c r="C767" s="2">
        <v>2014</v>
      </c>
      <c r="D767" s="1" t="s">
        <v>24</v>
      </c>
      <c r="E767" s="2">
        <v>1</v>
      </c>
      <c r="F767" s="1" t="s">
        <v>3170</v>
      </c>
      <c r="G767" s="1"/>
      <c r="H767" s="2">
        <v>600</v>
      </c>
      <c r="I767" s="2">
        <v>85000</v>
      </c>
      <c r="J767" s="1" t="s">
        <v>3171</v>
      </c>
      <c r="K767" s="2">
        <v>85000</v>
      </c>
      <c r="L767" s="1" t="s">
        <v>68</v>
      </c>
      <c r="M767" s="1" t="s">
        <v>69</v>
      </c>
      <c r="N767" s="1" t="s">
        <v>309</v>
      </c>
      <c r="O767" s="1" t="s">
        <v>310</v>
      </c>
      <c r="P767" s="1" t="s">
        <v>304</v>
      </c>
      <c r="Q767" s="1" t="s">
        <v>305</v>
      </c>
      <c r="R767" s="1" t="s">
        <v>309</v>
      </c>
      <c r="S767" s="1" t="s">
        <v>71</v>
      </c>
      <c r="T767" s="3" t="str">
        <f>Sheet4!H767</f>
        <v xml:space="preserve"> View Map </v>
      </c>
    </row>
    <row r="768" spans="1:20" ht="15" x14ac:dyDescent="0.25">
      <c r="A768" s="1" t="s">
        <v>3172</v>
      </c>
      <c r="B768" s="1" t="s">
        <v>3173</v>
      </c>
      <c r="C768" s="2">
        <v>2024</v>
      </c>
      <c r="D768" s="1" t="s">
        <v>24</v>
      </c>
      <c r="E768" s="2">
        <v>1</v>
      </c>
      <c r="F768" s="1" t="s">
        <v>3174</v>
      </c>
      <c r="G768" s="1" t="s">
        <v>3174</v>
      </c>
      <c r="H768" s="2">
        <v>30</v>
      </c>
      <c r="I768" s="2">
        <v>52000</v>
      </c>
      <c r="J768" s="1" t="s">
        <v>3175</v>
      </c>
      <c r="K768" s="2">
        <v>51600</v>
      </c>
      <c r="L768" s="1" t="s">
        <v>68</v>
      </c>
      <c r="M768" s="1" t="s">
        <v>69</v>
      </c>
      <c r="N768" s="1" t="s">
        <v>275</v>
      </c>
      <c r="O768" s="1" t="s">
        <v>391</v>
      </c>
      <c r="P768" s="1" t="s">
        <v>304</v>
      </c>
      <c r="Q768" s="1" t="s">
        <v>386</v>
      </c>
      <c r="R768" s="1" t="s">
        <v>275</v>
      </c>
      <c r="S768" s="1" t="s">
        <v>71</v>
      </c>
      <c r="T768" s="3" t="str">
        <f>Sheet4!H768</f>
        <v xml:space="preserve"> View Map </v>
      </c>
    </row>
    <row r="769" spans="1:20" ht="15" x14ac:dyDescent="0.25">
      <c r="A769" s="1" t="s">
        <v>3176</v>
      </c>
      <c r="B769" s="1" t="s">
        <v>3177</v>
      </c>
      <c r="C769" s="2">
        <v>2005</v>
      </c>
      <c r="D769" s="1" t="s">
        <v>24</v>
      </c>
      <c r="E769" s="2">
        <v>0</v>
      </c>
      <c r="F769" s="1" t="s">
        <v>3178</v>
      </c>
      <c r="G769" s="1" t="s">
        <v>2122</v>
      </c>
      <c r="H769" s="2">
        <v>550</v>
      </c>
      <c r="I769" s="2">
        <v>6000</v>
      </c>
      <c r="J769" s="1" t="s">
        <v>3179</v>
      </c>
      <c r="K769" s="1" t="s">
        <v>28</v>
      </c>
      <c r="L769" s="1" t="s">
        <v>68</v>
      </c>
      <c r="M769" s="1" t="s">
        <v>69</v>
      </c>
      <c r="N769" s="1" t="s">
        <v>162</v>
      </c>
      <c r="O769" s="1" t="s">
        <v>374</v>
      </c>
      <c r="P769" s="1" t="s">
        <v>162</v>
      </c>
      <c r="Q769" s="1" t="s">
        <v>162</v>
      </c>
      <c r="R769" s="1" t="s">
        <v>162</v>
      </c>
      <c r="S769" s="1" t="s">
        <v>71</v>
      </c>
      <c r="T769" s="3" t="str">
        <f>Sheet4!H769</f>
        <v xml:space="preserve"> View Map </v>
      </c>
    </row>
    <row r="770" spans="1:20" ht="15" x14ac:dyDescent="0.25">
      <c r="A770" s="1" t="s">
        <v>3180</v>
      </c>
      <c r="B770" s="1" t="s">
        <v>3181</v>
      </c>
      <c r="C770" s="2">
        <v>2005</v>
      </c>
      <c r="D770" s="1" t="s">
        <v>24</v>
      </c>
      <c r="E770" s="2">
        <v>1</v>
      </c>
      <c r="F770" s="1" t="s">
        <v>2050</v>
      </c>
      <c r="G770" s="1"/>
      <c r="H770" s="2">
        <v>0</v>
      </c>
      <c r="I770" s="2">
        <v>11250</v>
      </c>
      <c r="J770" s="1" t="s">
        <v>3182</v>
      </c>
      <c r="K770" s="2">
        <v>11250</v>
      </c>
      <c r="L770" s="1" t="s">
        <v>68</v>
      </c>
      <c r="M770" s="1" t="s">
        <v>69</v>
      </c>
      <c r="N770" s="1" t="s">
        <v>72</v>
      </c>
      <c r="O770" s="1" t="s">
        <v>78</v>
      </c>
      <c r="P770" s="1" t="s">
        <v>72</v>
      </c>
      <c r="Q770" s="1" t="s">
        <v>2047</v>
      </c>
      <c r="R770" s="1" t="s">
        <v>309</v>
      </c>
      <c r="S770" s="1" t="s">
        <v>71</v>
      </c>
      <c r="T770" s="3" t="str">
        <f>Sheet4!H770</f>
        <v xml:space="preserve"> View Map </v>
      </c>
    </row>
    <row r="771" spans="1:20" ht="15" x14ac:dyDescent="0.25">
      <c r="A771" s="1" t="s">
        <v>3183</v>
      </c>
      <c r="B771" s="1" t="s">
        <v>3184</v>
      </c>
      <c r="C771" s="2">
        <v>2005</v>
      </c>
      <c r="D771" s="1" t="s">
        <v>24</v>
      </c>
      <c r="E771" s="2">
        <v>1</v>
      </c>
      <c r="F771" s="1" t="s">
        <v>3185</v>
      </c>
      <c r="G771" s="1"/>
      <c r="H771" s="2">
        <v>0</v>
      </c>
      <c r="I771" s="2">
        <v>50000</v>
      </c>
      <c r="J771" s="1" t="s">
        <v>3186</v>
      </c>
      <c r="K771" s="2">
        <v>50000</v>
      </c>
      <c r="L771" s="1" t="s">
        <v>68</v>
      </c>
      <c r="M771" s="1" t="s">
        <v>69</v>
      </c>
      <c r="N771" s="1" t="s">
        <v>72</v>
      </c>
      <c r="O771" s="1" t="s">
        <v>598</v>
      </c>
      <c r="P771" s="1" t="s">
        <v>72</v>
      </c>
      <c r="Q771" s="1" t="s">
        <v>2047</v>
      </c>
      <c r="R771" s="1" t="s">
        <v>73</v>
      </c>
      <c r="S771" s="1" t="s">
        <v>71</v>
      </c>
      <c r="T771" s="3" t="str">
        <f>Sheet4!H771</f>
        <v xml:space="preserve"> View Map </v>
      </c>
    </row>
    <row r="772" spans="1:20" ht="15" x14ac:dyDescent="0.25">
      <c r="A772" s="1" t="s">
        <v>3187</v>
      </c>
      <c r="B772" s="1" t="s">
        <v>3188</v>
      </c>
      <c r="C772" s="2">
        <v>2021</v>
      </c>
      <c r="D772" s="1" t="s">
        <v>24</v>
      </c>
      <c r="E772" s="2">
        <v>1</v>
      </c>
      <c r="F772" s="1" t="s">
        <v>3189</v>
      </c>
      <c r="G772" s="1" t="s">
        <v>3190</v>
      </c>
      <c r="H772" s="2">
        <v>1280</v>
      </c>
      <c r="I772" s="2">
        <v>117000</v>
      </c>
      <c r="J772" s="1" t="s">
        <v>3191</v>
      </c>
      <c r="K772" s="2">
        <v>117000</v>
      </c>
      <c r="L772" s="1" t="s">
        <v>29</v>
      </c>
      <c r="M772" s="1" t="s">
        <v>134</v>
      </c>
      <c r="N772" s="1" t="s">
        <v>160</v>
      </c>
      <c r="O772" s="1" t="s">
        <v>656</v>
      </c>
      <c r="P772" s="1" t="s">
        <v>153</v>
      </c>
      <c r="Q772" s="1" t="s">
        <v>184</v>
      </c>
      <c r="R772" s="1" t="s">
        <v>370</v>
      </c>
      <c r="S772" s="1" t="s">
        <v>32</v>
      </c>
      <c r="T772" s="3" t="str">
        <f>Sheet4!H772</f>
        <v xml:space="preserve"> View Map </v>
      </c>
    </row>
    <row r="773" spans="1:20" ht="15" x14ac:dyDescent="0.25">
      <c r="A773" s="1" t="s">
        <v>3192</v>
      </c>
      <c r="B773" s="1" t="s">
        <v>3193</v>
      </c>
      <c r="C773" s="2">
        <v>2002</v>
      </c>
      <c r="D773" s="1" t="s">
        <v>24</v>
      </c>
      <c r="E773" s="2">
        <v>1</v>
      </c>
      <c r="F773" s="1" t="s">
        <v>539</v>
      </c>
      <c r="G773" s="1"/>
      <c r="H773" s="2">
        <v>1640</v>
      </c>
      <c r="I773" s="2">
        <v>50000</v>
      </c>
      <c r="J773" s="1" t="s">
        <v>3194</v>
      </c>
      <c r="K773" s="2">
        <v>50000</v>
      </c>
      <c r="L773" s="1" t="s">
        <v>68</v>
      </c>
      <c r="M773" s="1" t="s">
        <v>69</v>
      </c>
      <c r="N773" s="1" t="s">
        <v>53</v>
      </c>
      <c r="O773" s="1" t="s">
        <v>127</v>
      </c>
      <c r="P773" s="1" t="s">
        <v>45</v>
      </c>
      <c r="Q773" s="1" t="s">
        <v>122</v>
      </c>
      <c r="R773" s="1" t="s">
        <v>105</v>
      </c>
      <c r="S773" s="1" t="s">
        <v>71</v>
      </c>
      <c r="T773" s="3" t="str">
        <f>Sheet4!H773</f>
        <v xml:space="preserve"> View Map </v>
      </c>
    </row>
    <row r="774" spans="1:20" ht="15" x14ac:dyDescent="0.25">
      <c r="A774" s="1" t="s">
        <v>3195</v>
      </c>
      <c r="B774" s="1" t="s">
        <v>3196</v>
      </c>
      <c r="C774" s="2">
        <v>2024</v>
      </c>
      <c r="D774" s="1" t="s">
        <v>24</v>
      </c>
      <c r="E774" s="2">
        <v>1</v>
      </c>
      <c r="F774" s="1" t="s">
        <v>3197</v>
      </c>
      <c r="G774" s="1"/>
      <c r="H774" s="2">
        <v>0</v>
      </c>
      <c r="I774" s="2">
        <v>68000</v>
      </c>
      <c r="J774" s="1" t="s">
        <v>3198</v>
      </c>
      <c r="K774" s="2">
        <v>68000</v>
      </c>
      <c r="L774" s="1" t="s">
        <v>68</v>
      </c>
      <c r="M774" s="1" t="s">
        <v>69</v>
      </c>
      <c r="N774" s="1" t="s">
        <v>275</v>
      </c>
      <c r="O774" s="1" t="s">
        <v>1673</v>
      </c>
      <c r="P774" s="1" t="s">
        <v>275</v>
      </c>
      <c r="Q774" s="1" t="s">
        <v>276</v>
      </c>
      <c r="R774" s="1" t="s">
        <v>275</v>
      </c>
      <c r="S774" s="1" t="s">
        <v>71</v>
      </c>
      <c r="T774" s="3" t="str">
        <f>Sheet4!H774</f>
        <v xml:space="preserve"> View Map </v>
      </c>
    </row>
    <row r="775" spans="1:20" ht="15" x14ac:dyDescent="0.25">
      <c r="A775" s="1" t="s">
        <v>3199</v>
      </c>
      <c r="B775" s="1" t="s">
        <v>3200</v>
      </c>
      <c r="C775" s="2">
        <v>2005</v>
      </c>
      <c r="D775" s="1" t="s">
        <v>24</v>
      </c>
      <c r="E775" s="2">
        <v>1</v>
      </c>
      <c r="F775" s="1" t="s">
        <v>2572</v>
      </c>
      <c r="G775" s="1" t="s">
        <v>2572</v>
      </c>
      <c r="H775" s="2">
        <v>310</v>
      </c>
      <c r="I775" s="2">
        <v>33500</v>
      </c>
      <c r="J775" s="1" t="s">
        <v>3201</v>
      </c>
      <c r="K775" s="2">
        <v>33500</v>
      </c>
      <c r="L775" s="1" t="s">
        <v>68</v>
      </c>
      <c r="M775" s="1" t="s">
        <v>69</v>
      </c>
      <c r="N775" s="1" t="s">
        <v>275</v>
      </c>
      <c r="O775" s="1" t="s">
        <v>2441</v>
      </c>
      <c r="P775" s="1" t="s">
        <v>275</v>
      </c>
      <c r="Q775" s="1" t="s">
        <v>2132</v>
      </c>
      <c r="R775" s="1" t="s">
        <v>275</v>
      </c>
      <c r="S775" s="1" t="s">
        <v>71</v>
      </c>
      <c r="T775" s="3" t="str">
        <f>Sheet4!H775</f>
        <v xml:space="preserve"> View Map </v>
      </c>
    </row>
    <row r="776" spans="1:20" ht="15" x14ac:dyDescent="0.25">
      <c r="A776" s="1" t="s">
        <v>3202</v>
      </c>
      <c r="B776" s="1" t="s">
        <v>3203</v>
      </c>
      <c r="C776" s="2">
        <v>2021</v>
      </c>
      <c r="D776" s="1" t="s">
        <v>24</v>
      </c>
      <c r="E776" s="2">
        <v>1</v>
      </c>
      <c r="F776" s="1" t="s">
        <v>3204</v>
      </c>
      <c r="G776" s="1"/>
      <c r="H776" s="2">
        <v>0</v>
      </c>
      <c r="I776" s="2">
        <v>28800</v>
      </c>
      <c r="J776" s="1" t="s">
        <v>3205</v>
      </c>
      <c r="K776" s="2">
        <v>28800</v>
      </c>
      <c r="L776" s="1" t="s">
        <v>51</v>
      </c>
      <c r="M776" s="1" t="s">
        <v>52</v>
      </c>
      <c r="N776" s="1" t="s">
        <v>20</v>
      </c>
      <c r="O776" s="1" t="s">
        <v>173</v>
      </c>
      <c r="P776" s="1" t="s">
        <v>20</v>
      </c>
      <c r="Q776" s="1" t="s">
        <v>168</v>
      </c>
      <c r="R776" s="1" t="s">
        <v>431</v>
      </c>
      <c r="S776" s="1" t="s">
        <v>71</v>
      </c>
      <c r="T776" s="3" t="str">
        <f>Sheet4!H776</f>
        <v xml:space="preserve"> View Map </v>
      </c>
    </row>
    <row r="777" spans="1:20" ht="15" x14ac:dyDescent="0.25">
      <c r="A777" s="1" t="s">
        <v>3206</v>
      </c>
      <c r="B777" s="1" t="s">
        <v>3207</v>
      </c>
      <c r="C777" s="2">
        <v>2024</v>
      </c>
      <c r="D777" s="1" t="s">
        <v>24</v>
      </c>
      <c r="E777" s="2">
        <v>1</v>
      </c>
      <c r="F777" s="1" t="s">
        <v>297</v>
      </c>
      <c r="G777" s="1"/>
      <c r="H777" s="2">
        <v>0</v>
      </c>
      <c r="I777" s="2">
        <v>25000</v>
      </c>
      <c r="J777" s="1" t="s">
        <v>3208</v>
      </c>
      <c r="K777" s="2">
        <v>21500</v>
      </c>
      <c r="L777" s="1" t="s">
        <v>51</v>
      </c>
      <c r="M777" s="1" t="s">
        <v>52</v>
      </c>
      <c r="N777" s="1" t="s">
        <v>53</v>
      </c>
      <c r="O777" s="1" t="s">
        <v>440</v>
      </c>
      <c r="P777" s="1" t="s">
        <v>45</v>
      </c>
      <c r="Q777" s="1" t="s">
        <v>146</v>
      </c>
      <c r="R777" s="1" t="s">
        <v>204</v>
      </c>
      <c r="S777" s="1" t="s">
        <v>71</v>
      </c>
      <c r="T777" s="3" t="str">
        <f>Sheet4!H777</f>
        <v xml:space="preserve"> View Map </v>
      </c>
    </row>
    <row r="778" spans="1:20" ht="15" x14ac:dyDescent="0.25">
      <c r="A778" s="1" t="s">
        <v>3209</v>
      </c>
      <c r="B778" s="1" t="s">
        <v>3210</v>
      </c>
      <c r="C778" s="2">
        <v>2024</v>
      </c>
      <c r="D778" s="1" t="s">
        <v>24</v>
      </c>
      <c r="E778" s="2">
        <v>1</v>
      </c>
      <c r="F778" s="1" t="s">
        <v>3211</v>
      </c>
      <c r="G778" s="1"/>
      <c r="H778" s="2">
        <v>0</v>
      </c>
      <c r="I778" s="2">
        <v>20000</v>
      </c>
      <c r="J778" s="1" t="s">
        <v>3212</v>
      </c>
      <c r="K778" s="2">
        <v>20000</v>
      </c>
      <c r="L778" s="1" t="s">
        <v>68</v>
      </c>
      <c r="M778" s="1" t="s">
        <v>69</v>
      </c>
      <c r="N778" s="1" t="s">
        <v>72</v>
      </c>
      <c r="O778" s="1" t="s">
        <v>2419</v>
      </c>
      <c r="P778" s="1" t="s">
        <v>72</v>
      </c>
      <c r="Q778" s="1" t="s">
        <v>811</v>
      </c>
      <c r="R778" s="1" t="s">
        <v>73</v>
      </c>
      <c r="S778" s="1" t="s">
        <v>71</v>
      </c>
      <c r="T778" s="3" t="str">
        <f>Sheet4!H778</f>
        <v xml:space="preserve"> View Map </v>
      </c>
    </row>
    <row r="779" spans="1:20" ht="15" x14ac:dyDescent="0.25">
      <c r="A779" s="1" t="s">
        <v>3213</v>
      </c>
      <c r="B779" s="1" t="s">
        <v>3214</v>
      </c>
      <c r="C779" s="2">
        <v>2022</v>
      </c>
      <c r="D779" s="1" t="s">
        <v>24</v>
      </c>
      <c r="E779" s="2">
        <v>1</v>
      </c>
      <c r="F779" s="1" t="s">
        <v>2629</v>
      </c>
      <c r="G779" s="1" t="s">
        <v>3215</v>
      </c>
      <c r="H779" s="2">
        <v>129</v>
      </c>
      <c r="I779" s="2">
        <v>120000</v>
      </c>
      <c r="J779" s="1" t="s">
        <v>3216</v>
      </c>
      <c r="K779" s="2">
        <v>120000</v>
      </c>
      <c r="L779" s="1" t="s">
        <v>68</v>
      </c>
      <c r="M779" s="1" t="s">
        <v>69</v>
      </c>
      <c r="N779" s="1" t="s">
        <v>162</v>
      </c>
      <c r="O779" s="1" t="s">
        <v>167</v>
      </c>
      <c r="P779" s="1" t="s">
        <v>162</v>
      </c>
      <c r="Q779" s="1" t="s">
        <v>311</v>
      </c>
      <c r="R779" s="1" t="s">
        <v>162</v>
      </c>
      <c r="S779" s="1" t="s">
        <v>71</v>
      </c>
      <c r="T779" s="3" t="str">
        <f>Sheet4!H779</f>
        <v xml:space="preserve"> View Map </v>
      </c>
    </row>
    <row r="780" spans="1:20" ht="15" x14ac:dyDescent="0.25">
      <c r="A780" s="1" t="s">
        <v>3217</v>
      </c>
      <c r="B780" s="1" t="s">
        <v>3218</v>
      </c>
      <c r="C780" s="2">
        <v>2011</v>
      </c>
      <c r="D780" s="1" t="s">
        <v>24</v>
      </c>
      <c r="E780" s="2">
        <v>1</v>
      </c>
      <c r="F780" s="1" t="s">
        <v>3219</v>
      </c>
      <c r="G780" s="1" t="s">
        <v>1966</v>
      </c>
      <c r="H780" s="2">
        <v>500</v>
      </c>
      <c r="I780" s="2">
        <v>43000</v>
      </c>
      <c r="J780" s="1" t="s">
        <v>3220</v>
      </c>
      <c r="K780" s="2">
        <v>43000</v>
      </c>
      <c r="L780" s="1" t="s">
        <v>68</v>
      </c>
      <c r="M780" s="1" t="s">
        <v>69</v>
      </c>
      <c r="N780" s="1" t="s">
        <v>72</v>
      </c>
      <c r="O780" s="1" t="s">
        <v>2106</v>
      </c>
      <c r="P780" s="1" t="s">
        <v>72</v>
      </c>
      <c r="Q780" s="1" t="s">
        <v>811</v>
      </c>
      <c r="R780" s="1" t="s">
        <v>72</v>
      </c>
      <c r="S780" s="1" t="s">
        <v>71</v>
      </c>
      <c r="T780" s="3" t="str">
        <f>Sheet4!H780</f>
        <v xml:space="preserve"> View Map </v>
      </c>
    </row>
    <row r="781" spans="1:20" ht="15" x14ac:dyDescent="0.25">
      <c r="A781" s="1" t="s">
        <v>3221</v>
      </c>
      <c r="B781" s="1" t="s">
        <v>3222</v>
      </c>
      <c r="C781" s="2">
        <v>0</v>
      </c>
      <c r="D781" s="1" t="s">
        <v>24</v>
      </c>
      <c r="E781" s="2">
        <v>1</v>
      </c>
      <c r="F781" s="1" t="s">
        <v>3223</v>
      </c>
      <c r="G781" s="1" t="s">
        <v>3224</v>
      </c>
      <c r="H781" s="2">
        <v>1200</v>
      </c>
      <c r="I781" s="2">
        <v>7500</v>
      </c>
      <c r="J781" s="1" t="s">
        <v>3225</v>
      </c>
      <c r="K781" s="2">
        <v>7500</v>
      </c>
      <c r="L781" s="1" t="s">
        <v>68</v>
      </c>
      <c r="M781" s="1" t="s">
        <v>69</v>
      </c>
      <c r="N781" s="1" t="s">
        <v>275</v>
      </c>
      <c r="O781" s="1" t="s">
        <v>2441</v>
      </c>
      <c r="P781" s="1" t="s">
        <v>275</v>
      </c>
      <c r="Q781" s="1" t="s">
        <v>2132</v>
      </c>
      <c r="R781" s="1" t="s">
        <v>275</v>
      </c>
      <c r="S781" s="1" t="s">
        <v>71</v>
      </c>
      <c r="T781" s="3" t="str">
        <f>Sheet4!H781</f>
        <v xml:space="preserve"> View Map </v>
      </c>
    </row>
    <row r="782" spans="1:20" ht="15" x14ac:dyDescent="0.25">
      <c r="A782" s="1" t="s">
        <v>3226</v>
      </c>
      <c r="B782" s="1" t="s">
        <v>3227</v>
      </c>
      <c r="C782" s="2">
        <v>2005</v>
      </c>
      <c r="D782" s="1" t="s">
        <v>24</v>
      </c>
      <c r="E782" s="2">
        <v>1</v>
      </c>
      <c r="F782" s="1" t="s">
        <v>3228</v>
      </c>
      <c r="G782" s="1" t="s">
        <v>3229</v>
      </c>
      <c r="H782" s="2">
        <v>290</v>
      </c>
      <c r="I782" s="2">
        <v>78000</v>
      </c>
      <c r="J782" s="1" t="s">
        <v>3230</v>
      </c>
      <c r="K782" s="2">
        <v>78000</v>
      </c>
      <c r="L782" s="1" t="s">
        <v>68</v>
      </c>
      <c r="M782" s="1" t="s">
        <v>69</v>
      </c>
      <c r="N782" s="1" t="s">
        <v>72</v>
      </c>
      <c r="O782" s="1" t="s">
        <v>115</v>
      </c>
      <c r="P782" s="1" t="s">
        <v>72</v>
      </c>
      <c r="Q782" s="1" t="s">
        <v>639</v>
      </c>
      <c r="R782" s="1" t="s">
        <v>72</v>
      </c>
      <c r="S782" s="1" t="s">
        <v>71</v>
      </c>
      <c r="T782" s="3" t="str">
        <f>Sheet4!H782</f>
        <v xml:space="preserve"> View Map </v>
      </c>
    </row>
    <row r="783" spans="1:20" ht="15" x14ac:dyDescent="0.25">
      <c r="A783" s="1" t="s">
        <v>3231</v>
      </c>
      <c r="B783" s="1" t="s">
        <v>3232</v>
      </c>
      <c r="C783" s="2">
        <v>2024</v>
      </c>
      <c r="D783" s="1" t="s">
        <v>24</v>
      </c>
      <c r="E783" s="2">
        <v>1</v>
      </c>
      <c r="F783" s="1" t="s">
        <v>3232</v>
      </c>
      <c r="G783" s="1" t="s">
        <v>3233</v>
      </c>
      <c r="H783" s="2">
        <v>230</v>
      </c>
      <c r="I783" s="2">
        <v>110000</v>
      </c>
      <c r="J783" s="1" t="s">
        <v>3234</v>
      </c>
      <c r="K783" s="2">
        <v>110000</v>
      </c>
      <c r="L783" s="1" t="s">
        <v>68</v>
      </c>
      <c r="M783" s="1" t="s">
        <v>69</v>
      </c>
      <c r="N783" s="1" t="s">
        <v>162</v>
      </c>
      <c r="O783" s="1" t="s">
        <v>1568</v>
      </c>
      <c r="P783" s="1" t="s">
        <v>162</v>
      </c>
      <c r="Q783" s="1" t="s">
        <v>162</v>
      </c>
      <c r="R783" s="1" t="s">
        <v>162</v>
      </c>
      <c r="S783" s="1" t="s">
        <v>71</v>
      </c>
      <c r="T783" s="3" t="str">
        <f>Sheet4!H783</f>
        <v xml:space="preserve"> View Map </v>
      </c>
    </row>
    <row r="784" spans="1:20" ht="15" x14ac:dyDescent="0.25">
      <c r="A784" s="1" t="s">
        <v>3235</v>
      </c>
      <c r="B784" s="1" t="s">
        <v>3236</v>
      </c>
      <c r="C784" s="2">
        <v>2017</v>
      </c>
      <c r="D784" s="1" t="s">
        <v>24</v>
      </c>
      <c r="E784" s="2">
        <v>0</v>
      </c>
      <c r="F784" s="1" t="s">
        <v>3237</v>
      </c>
      <c r="G784" s="1" t="s">
        <v>2687</v>
      </c>
      <c r="H784" s="2">
        <v>0</v>
      </c>
      <c r="I784" s="2">
        <v>32500</v>
      </c>
      <c r="J784" s="1" t="s">
        <v>3238</v>
      </c>
      <c r="K784" s="2">
        <v>32500</v>
      </c>
      <c r="L784" s="1" t="s">
        <v>68</v>
      </c>
      <c r="M784" s="1" t="s">
        <v>69</v>
      </c>
      <c r="N784" s="1" t="s">
        <v>275</v>
      </c>
      <c r="O784" s="1" t="s">
        <v>2137</v>
      </c>
      <c r="P784" s="1" t="s">
        <v>275</v>
      </c>
      <c r="Q784" s="1" t="s">
        <v>2132</v>
      </c>
      <c r="R784" s="1" t="s">
        <v>275</v>
      </c>
      <c r="S784" s="1" t="s">
        <v>71</v>
      </c>
      <c r="T784" s="3" t="str">
        <f>Sheet4!H784</f>
        <v xml:space="preserve"> View Map </v>
      </c>
    </row>
    <row r="785" spans="1:20" ht="15" x14ac:dyDescent="0.25">
      <c r="A785" s="1" t="s">
        <v>3239</v>
      </c>
      <c r="B785" s="1" t="s">
        <v>3240</v>
      </c>
      <c r="C785" s="2">
        <v>2005</v>
      </c>
      <c r="D785" s="1" t="s">
        <v>24</v>
      </c>
      <c r="E785" s="2">
        <v>1</v>
      </c>
      <c r="F785" s="1" t="s">
        <v>3241</v>
      </c>
      <c r="G785" s="1"/>
      <c r="H785" s="2">
        <v>0</v>
      </c>
      <c r="I785" s="2">
        <v>50000</v>
      </c>
      <c r="J785" s="1" t="s">
        <v>3242</v>
      </c>
      <c r="K785" s="2">
        <v>50000</v>
      </c>
      <c r="L785" s="1" t="s">
        <v>51</v>
      </c>
      <c r="M785" s="1" t="s">
        <v>52</v>
      </c>
      <c r="N785" s="1" t="s">
        <v>53</v>
      </c>
      <c r="O785" s="1" t="s">
        <v>127</v>
      </c>
      <c r="P785" s="1" t="s">
        <v>45</v>
      </c>
      <c r="Q785" s="1" t="s">
        <v>535</v>
      </c>
      <c r="R785" s="1" t="s">
        <v>128</v>
      </c>
      <c r="S785" s="1" t="s">
        <v>71</v>
      </c>
      <c r="T785" s="3" t="str">
        <f>Sheet4!H785</f>
        <v xml:space="preserve"> View Map </v>
      </c>
    </row>
    <row r="786" spans="1:20" ht="15" x14ac:dyDescent="0.25">
      <c r="A786" s="1" t="s">
        <v>3243</v>
      </c>
      <c r="B786" s="1" t="s">
        <v>3244</v>
      </c>
      <c r="C786" s="2">
        <v>2015</v>
      </c>
      <c r="D786" s="1" t="s">
        <v>24</v>
      </c>
      <c r="E786" s="2">
        <v>1</v>
      </c>
      <c r="F786" s="1" t="s">
        <v>3245</v>
      </c>
      <c r="G786" s="1"/>
      <c r="H786" s="2">
        <v>0</v>
      </c>
      <c r="I786" s="2">
        <v>33000</v>
      </c>
      <c r="J786" s="1" t="s">
        <v>3246</v>
      </c>
      <c r="K786" s="2">
        <v>33000</v>
      </c>
      <c r="L786" s="1" t="s">
        <v>51</v>
      </c>
      <c r="M786" s="1" t="s">
        <v>52</v>
      </c>
      <c r="N786" s="1" t="s">
        <v>53</v>
      </c>
      <c r="O786" s="1" t="s">
        <v>412</v>
      </c>
      <c r="P786" s="1" t="s">
        <v>45</v>
      </c>
      <c r="Q786" s="1" t="s">
        <v>45</v>
      </c>
      <c r="R786" s="1" t="s">
        <v>204</v>
      </c>
      <c r="S786" s="1" t="s">
        <v>71</v>
      </c>
      <c r="T786" s="3" t="str">
        <f>Sheet4!H786</f>
        <v xml:space="preserve"> View Map </v>
      </c>
    </row>
    <row r="787" spans="1:20" ht="15" x14ac:dyDescent="0.25">
      <c r="A787" s="1" t="s">
        <v>3247</v>
      </c>
      <c r="B787" s="1" t="s">
        <v>3248</v>
      </c>
      <c r="C787" s="2">
        <v>2014</v>
      </c>
      <c r="D787" s="1" t="s">
        <v>24</v>
      </c>
      <c r="E787" s="2">
        <v>1</v>
      </c>
      <c r="F787" s="1" t="s">
        <v>3249</v>
      </c>
      <c r="G787" s="1"/>
      <c r="H787" s="2">
        <v>575</v>
      </c>
      <c r="I787" s="2">
        <v>152000</v>
      </c>
      <c r="J787" s="1" t="s">
        <v>3250</v>
      </c>
      <c r="K787" s="2">
        <v>152000</v>
      </c>
      <c r="L787" s="1" t="s">
        <v>68</v>
      </c>
      <c r="M787" s="1" t="s">
        <v>69</v>
      </c>
      <c r="N787" s="1" t="s">
        <v>53</v>
      </c>
      <c r="O787" s="1" t="s">
        <v>338</v>
      </c>
      <c r="P787" s="1" t="s">
        <v>45</v>
      </c>
      <c r="Q787" s="1" t="s">
        <v>332</v>
      </c>
      <c r="R787" s="1" t="s">
        <v>128</v>
      </c>
      <c r="S787" s="1" t="s">
        <v>71</v>
      </c>
      <c r="T787" s="3" t="str">
        <f>Sheet4!H787</f>
        <v xml:space="preserve"> View Map </v>
      </c>
    </row>
    <row r="788" spans="1:20" ht="15" x14ac:dyDescent="0.25">
      <c r="A788" s="1" t="s">
        <v>3251</v>
      </c>
      <c r="B788" s="1" t="s">
        <v>3252</v>
      </c>
      <c r="C788" s="2">
        <v>2024</v>
      </c>
      <c r="D788" s="1" t="s">
        <v>24</v>
      </c>
      <c r="E788" s="2">
        <v>1</v>
      </c>
      <c r="F788" s="1" t="s">
        <v>3253</v>
      </c>
      <c r="G788" s="1"/>
      <c r="H788" s="2">
        <v>0</v>
      </c>
      <c r="I788" s="2">
        <v>25750</v>
      </c>
      <c r="J788" s="1" t="s">
        <v>3254</v>
      </c>
      <c r="K788" s="2">
        <v>25750</v>
      </c>
      <c r="L788" s="1" t="s">
        <v>51</v>
      </c>
      <c r="M788" s="1" t="s">
        <v>159</v>
      </c>
      <c r="N788" s="1" t="s">
        <v>160</v>
      </c>
      <c r="O788" s="1" t="s">
        <v>1431</v>
      </c>
      <c r="P788" s="1" t="s">
        <v>153</v>
      </c>
      <c r="Q788" s="1" t="s">
        <v>154</v>
      </c>
      <c r="R788" s="1" t="s">
        <v>459</v>
      </c>
      <c r="S788" s="1" t="s">
        <v>71</v>
      </c>
      <c r="T788" s="3" t="str">
        <f>Sheet4!H788</f>
        <v xml:space="preserve"> View Map </v>
      </c>
    </row>
    <row r="789" spans="1:20" ht="15" x14ac:dyDescent="0.25">
      <c r="A789" s="1" t="s">
        <v>3255</v>
      </c>
      <c r="B789" s="1" t="s">
        <v>3256</v>
      </c>
      <c r="C789" s="2">
        <v>2005</v>
      </c>
      <c r="D789" s="1" t="s">
        <v>81</v>
      </c>
      <c r="E789" s="2">
        <v>0</v>
      </c>
      <c r="F789" s="1" t="s">
        <v>28</v>
      </c>
      <c r="G789" s="1" t="s">
        <v>28</v>
      </c>
      <c r="H789" s="1" t="s">
        <v>28</v>
      </c>
      <c r="I789" s="2">
        <v>0</v>
      </c>
      <c r="J789" s="1" t="s">
        <v>3257</v>
      </c>
      <c r="K789" s="1" t="s">
        <v>28</v>
      </c>
      <c r="L789" s="1" t="s">
        <v>51</v>
      </c>
      <c r="M789" s="1" t="s">
        <v>159</v>
      </c>
      <c r="N789" s="1" t="s">
        <v>53</v>
      </c>
      <c r="O789" s="1" t="s">
        <v>28</v>
      </c>
      <c r="P789" s="1" t="s">
        <v>45</v>
      </c>
      <c r="Q789" s="1" t="s">
        <v>28</v>
      </c>
      <c r="R789" s="1" t="s">
        <v>105</v>
      </c>
      <c r="S789" s="1" t="s">
        <v>71</v>
      </c>
      <c r="T789" s="3" t="str">
        <f>Sheet4!H789</f>
        <v xml:space="preserve"> View Map </v>
      </c>
    </row>
    <row r="790" spans="1:20" ht="15" x14ac:dyDescent="0.25">
      <c r="A790" s="1" t="s">
        <v>3258</v>
      </c>
      <c r="B790" s="1" t="s">
        <v>3259</v>
      </c>
      <c r="C790" s="2">
        <v>2014</v>
      </c>
      <c r="D790" s="1" t="s">
        <v>24</v>
      </c>
      <c r="E790" s="2">
        <v>1</v>
      </c>
      <c r="F790" s="1" t="s">
        <v>3260</v>
      </c>
      <c r="G790" s="1" t="s">
        <v>3261</v>
      </c>
      <c r="H790" s="2">
        <v>460</v>
      </c>
      <c r="I790" s="2">
        <v>43000</v>
      </c>
      <c r="J790" s="1" t="s">
        <v>2135</v>
      </c>
      <c r="K790" s="2">
        <v>43000</v>
      </c>
      <c r="L790" s="1" t="s">
        <v>68</v>
      </c>
      <c r="M790" s="1" t="s">
        <v>69</v>
      </c>
      <c r="N790" s="1" t="s">
        <v>275</v>
      </c>
      <c r="O790" s="1" t="s">
        <v>2137</v>
      </c>
      <c r="P790" s="1" t="s">
        <v>275</v>
      </c>
      <c r="Q790" s="1" t="s">
        <v>2132</v>
      </c>
      <c r="R790" s="1" t="s">
        <v>275</v>
      </c>
      <c r="S790" s="1" t="s">
        <v>1984</v>
      </c>
      <c r="T790" s="3" t="str">
        <f>Sheet4!H790</f>
        <v xml:space="preserve"> View Map </v>
      </c>
    </row>
    <row r="791" spans="1:20" ht="15" x14ac:dyDescent="0.25">
      <c r="A791" s="1" t="s">
        <v>3262</v>
      </c>
      <c r="B791" s="1" t="s">
        <v>3263</v>
      </c>
      <c r="C791" s="2">
        <v>2018</v>
      </c>
      <c r="D791" s="1" t="s">
        <v>24</v>
      </c>
      <c r="E791" s="2">
        <v>1</v>
      </c>
      <c r="F791" s="1" t="s">
        <v>3264</v>
      </c>
      <c r="G791" s="1" t="s">
        <v>3265</v>
      </c>
      <c r="H791" s="2">
        <v>40</v>
      </c>
      <c r="I791" s="2">
        <v>70000</v>
      </c>
      <c r="J791" s="1" t="s">
        <v>3266</v>
      </c>
      <c r="K791" s="2">
        <v>70000</v>
      </c>
      <c r="L791" s="1" t="s">
        <v>68</v>
      </c>
      <c r="M791" s="1" t="s">
        <v>69</v>
      </c>
      <c r="N791" s="1" t="s">
        <v>309</v>
      </c>
      <c r="O791" s="1" t="s">
        <v>3267</v>
      </c>
      <c r="P791" s="1" t="s">
        <v>304</v>
      </c>
      <c r="Q791" s="1" t="s">
        <v>432</v>
      </c>
      <c r="R791" s="1" t="s">
        <v>309</v>
      </c>
      <c r="S791" s="1" t="s">
        <v>71</v>
      </c>
      <c r="T791" s="3" t="str">
        <f>Sheet4!H791</f>
        <v xml:space="preserve"> View Map </v>
      </c>
    </row>
    <row r="792" spans="1:20" ht="15" x14ac:dyDescent="0.25">
      <c r="A792" s="1" t="s">
        <v>3268</v>
      </c>
      <c r="B792" s="1" t="s">
        <v>3269</v>
      </c>
      <c r="C792" s="2">
        <v>2024</v>
      </c>
      <c r="D792" s="1" t="s">
        <v>24</v>
      </c>
      <c r="E792" s="2">
        <v>1</v>
      </c>
      <c r="F792" s="1" t="s">
        <v>3270</v>
      </c>
      <c r="G792" s="1"/>
      <c r="H792" s="2">
        <v>0</v>
      </c>
      <c r="I792" s="2">
        <v>75000</v>
      </c>
      <c r="J792" s="1" t="s">
        <v>3271</v>
      </c>
      <c r="K792" s="2">
        <v>75000</v>
      </c>
      <c r="L792" s="1" t="s">
        <v>68</v>
      </c>
      <c r="M792" s="1" t="s">
        <v>69</v>
      </c>
      <c r="N792" s="1" t="s">
        <v>322</v>
      </c>
      <c r="O792" s="1" t="s">
        <v>783</v>
      </c>
      <c r="P792" s="1" t="s">
        <v>162</v>
      </c>
      <c r="Q792" s="1" t="s">
        <v>316</v>
      </c>
      <c r="R792" s="1" t="s">
        <v>784</v>
      </c>
      <c r="S792" s="1" t="s">
        <v>71</v>
      </c>
      <c r="T792" s="3" t="str">
        <f>Sheet4!H792</f>
        <v xml:space="preserve"> View Map </v>
      </c>
    </row>
    <row r="793" spans="1:20" ht="15" x14ac:dyDescent="0.25">
      <c r="A793" s="1" t="s">
        <v>3272</v>
      </c>
      <c r="B793" s="1" t="s">
        <v>3273</v>
      </c>
      <c r="C793" s="2">
        <v>2014</v>
      </c>
      <c r="D793" s="1" t="s">
        <v>24</v>
      </c>
      <c r="E793" s="2">
        <v>1</v>
      </c>
      <c r="F793" s="1" t="s">
        <v>3274</v>
      </c>
      <c r="G793" s="1"/>
      <c r="H793" s="2">
        <v>5</v>
      </c>
      <c r="I793" s="2">
        <v>28000</v>
      </c>
      <c r="J793" s="1" t="s">
        <v>3275</v>
      </c>
      <c r="K793" s="2">
        <v>28000</v>
      </c>
      <c r="L793" s="1" t="s">
        <v>68</v>
      </c>
      <c r="M793" s="1" t="s">
        <v>69</v>
      </c>
      <c r="N793" s="1" t="s">
        <v>275</v>
      </c>
      <c r="O793" s="1" t="s">
        <v>2779</v>
      </c>
      <c r="P793" s="1" t="s">
        <v>275</v>
      </c>
      <c r="Q793" s="1" t="s">
        <v>275</v>
      </c>
      <c r="R793" s="1" t="s">
        <v>275</v>
      </c>
      <c r="S793" s="1" t="s">
        <v>71</v>
      </c>
      <c r="T793" s="3" t="str">
        <f>Sheet4!H793</f>
        <v xml:space="preserve"> View Map </v>
      </c>
    </row>
    <row r="794" spans="1:20" ht="15" x14ac:dyDescent="0.25">
      <c r="A794" s="1" t="s">
        <v>3276</v>
      </c>
      <c r="B794" s="1" t="s">
        <v>3277</v>
      </c>
      <c r="C794" s="1" t="s">
        <v>28</v>
      </c>
      <c r="D794" s="1" t="s">
        <v>24</v>
      </c>
      <c r="E794" s="2">
        <v>1</v>
      </c>
      <c r="F794" s="1" t="s">
        <v>3278</v>
      </c>
      <c r="G794" s="1"/>
      <c r="H794" s="2">
        <v>0</v>
      </c>
      <c r="I794" s="2">
        <v>34000</v>
      </c>
      <c r="J794" s="1" t="s">
        <v>3279</v>
      </c>
      <c r="K794" s="2">
        <v>34000</v>
      </c>
      <c r="L794" s="1" t="s">
        <v>68</v>
      </c>
      <c r="M794" s="1" t="s">
        <v>69</v>
      </c>
      <c r="N794" s="1" t="s">
        <v>309</v>
      </c>
      <c r="O794" s="1" t="s">
        <v>2332</v>
      </c>
      <c r="P794" s="1" t="s">
        <v>304</v>
      </c>
      <c r="Q794" s="1" t="s">
        <v>305</v>
      </c>
      <c r="R794" s="1" t="s">
        <v>309</v>
      </c>
      <c r="S794" s="1" t="s">
        <v>71</v>
      </c>
      <c r="T794" s="3" t="str">
        <f>Sheet4!H794</f>
        <v xml:space="preserve"> View Map </v>
      </c>
    </row>
    <row r="795" spans="1:20" ht="15" x14ac:dyDescent="0.25">
      <c r="A795" s="1" t="s">
        <v>3280</v>
      </c>
      <c r="B795" s="1" t="s">
        <v>3281</v>
      </c>
      <c r="C795" s="2">
        <v>2025</v>
      </c>
      <c r="D795" s="1" t="s">
        <v>24</v>
      </c>
      <c r="E795" s="2">
        <v>1</v>
      </c>
      <c r="F795" s="1" t="s">
        <v>2619</v>
      </c>
      <c r="G795" s="1" t="s">
        <v>3282</v>
      </c>
      <c r="H795" s="2">
        <v>500</v>
      </c>
      <c r="I795" s="2">
        <v>78250</v>
      </c>
      <c r="J795" s="1" t="s">
        <v>3283</v>
      </c>
      <c r="K795" s="2">
        <v>78250</v>
      </c>
      <c r="L795" s="1" t="s">
        <v>68</v>
      </c>
      <c r="M795" s="1" t="s">
        <v>69</v>
      </c>
      <c r="N795" s="1" t="s">
        <v>322</v>
      </c>
      <c r="O795" s="1" t="s">
        <v>1137</v>
      </c>
      <c r="P795" s="1" t="s">
        <v>162</v>
      </c>
      <c r="Q795" s="1" t="s">
        <v>316</v>
      </c>
      <c r="R795" s="1" t="s">
        <v>784</v>
      </c>
      <c r="S795" s="1" t="s">
        <v>71</v>
      </c>
      <c r="T795" s="3" t="str">
        <f>Sheet4!H795</f>
        <v xml:space="preserve"> View Map </v>
      </c>
    </row>
    <row r="796" spans="1:20" ht="15" x14ac:dyDescent="0.25">
      <c r="A796" s="1" t="s">
        <v>3284</v>
      </c>
      <c r="B796" s="1" t="s">
        <v>3285</v>
      </c>
      <c r="C796" s="2">
        <v>2012</v>
      </c>
      <c r="D796" s="1" t="s">
        <v>24</v>
      </c>
      <c r="E796" s="2">
        <v>1</v>
      </c>
      <c r="F796" s="1" t="s">
        <v>3286</v>
      </c>
      <c r="G796" s="1" t="s">
        <v>3287</v>
      </c>
      <c r="H796" s="2">
        <v>75</v>
      </c>
      <c r="I796" s="2">
        <v>55000</v>
      </c>
      <c r="J796" s="1" t="s">
        <v>3288</v>
      </c>
      <c r="K796" s="2">
        <v>55000</v>
      </c>
      <c r="L796" s="1" t="s">
        <v>68</v>
      </c>
      <c r="M796" s="1" t="s">
        <v>69</v>
      </c>
      <c r="N796" s="1" t="s">
        <v>309</v>
      </c>
      <c r="O796" s="1" t="s">
        <v>2332</v>
      </c>
      <c r="P796" s="1" t="s">
        <v>304</v>
      </c>
      <c r="Q796" s="1" t="s">
        <v>305</v>
      </c>
      <c r="R796" s="1" t="s">
        <v>309</v>
      </c>
      <c r="S796" s="1" t="s">
        <v>71</v>
      </c>
      <c r="T796" s="3" t="str">
        <f>Sheet4!H796</f>
        <v xml:space="preserve"> View Map </v>
      </c>
    </row>
    <row r="797" spans="1:20" ht="15" x14ac:dyDescent="0.25">
      <c r="A797" s="1" t="s">
        <v>3289</v>
      </c>
      <c r="B797" s="1" t="s">
        <v>3290</v>
      </c>
      <c r="C797" s="2">
        <v>2024</v>
      </c>
      <c r="D797" s="1" t="s">
        <v>24</v>
      </c>
      <c r="E797" s="2">
        <v>1</v>
      </c>
      <c r="F797" s="1" t="s">
        <v>2806</v>
      </c>
      <c r="G797" s="1"/>
      <c r="H797" s="2">
        <v>0</v>
      </c>
      <c r="I797" s="2">
        <v>38250</v>
      </c>
      <c r="J797" s="1" t="s">
        <v>3291</v>
      </c>
      <c r="K797" s="2">
        <v>38250</v>
      </c>
      <c r="L797" s="1" t="s">
        <v>68</v>
      </c>
      <c r="M797" s="1" t="s">
        <v>69</v>
      </c>
      <c r="N797" s="1" t="s">
        <v>72</v>
      </c>
      <c r="O797" s="1" t="s">
        <v>598</v>
      </c>
      <c r="P797" s="1" t="s">
        <v>72</v>
      </c>
      <c r="Q797" s="1" t="s">
        <v>2047</v>
      </c>
      <c r="R797" s="1" t="s">
        <v>73</v>
      </c>
      <c r="S797" s="1" t="s">
        <v>71</v>
      </c>
      <c r="T797" s="3" t="str">
        <f>Sheet4!H797</f>
        <v xml:space="preserve"> View Map </v>
      </c>
    </row>
    <row r="798" spans="1:20" ht="15" x14ac:dyDescent="0.25">
      <c r="A798" s="1" t="s">
        <v>3292</v>
      </c>
      <c r="B798" s="1" t="s">
        <v>3293</v>
      </c>
      <c r="C798" s="2">
        <v>2024</v>
      </c>
      <c r="D798" s="1" t="s">
        <v>24</v>
      </c>
      <c r="E798" s="2">
        <v>1</v>
      </c>
      <c r="F798" s="1" t="s">
        <v>3294</v>
      </c>
      <c r="G798" s="1" t="s">
        <v>3295</v>
      </c>
      <c r="H798" s="2">
        <v>762</v>
      </c>
      <c r="I798" s="2">
        <v>75000</v>
      </c>
      <c r="J798" s="1" t="s">
        <v>3296</v>
      </c>
      <c r="K798" s="2">
        <v>75000</v>
      </c>
      <c r="L798" s="1" t="s">
        <v>51</v>
      </c>
      <c r="M798" s="1" t="s">
        <v>159</v>
      </c>
      <c r="N798" s="1" t="s">
        <v>160</v>
      </c>
      <c r="O798" s="1" t="s">
        <v>199</v>
      </c>
      <c r="P798" s="1" t="s">
        <v>153</v>
      </c>
      <c r="Q798" s="1" t="s">
        <v>193</v>
      </c>
      <c r="R798" s="1" t="s">
        <v>200</v>
      </c>
      <c r="S798" s="1" t="s">
        <v>71</v>
      </c>
      <c r="T798" s="3" t="str">
        <f>Sheet4!H798</f>
        <v xml:space="preserve"> View Map </v>
      </c>
    </row>
    <row r="799" spans="1:20" ht="15" x14ac:dyDescent="0.25">
      <c r="A799" s="1" t="s">
        <v>3297</v>
      </c>
      <c r="B799" s="1" t="s">
        <v>3298</v>
      </c>
      <c r="C799" s="2">
        <v>2004</v>
      </c>
      <c r="D799" s="1" t="s">
        <v>24</v>
      </c>
      <c r="E799" s="2">
        <v>0</v>
      </c>
      <c r="F799" s="1" t="s">
        <v>3299</v>
      </c>
      <c r="G799" s="1"/>
      <c r="H799" s="2">
        <v>450</v>
      </c>
      <c r="I799" s="2">
        <v>100000</v>
      </c>
      <c r="J799" s="1" t="s">
        <v>3300</v>
      </c>
      <c r="K799" s="2">
        <v>100000</v>
      </c>
      <c r="L799" s="1" t="s">
        <v>68</v>
      </c>
      <c r="M799" s="1" t="s">
        <v>69</v>
      </c>
      <c r="N799" s="1" t="s">
        <v>275</v>
      </c>
      <c r="O799" s="1" t="s">
        <v>2137</v>
      </c>
      <c r="P799" s="1" t="s">
        <v>275</v>
      </c>
      <c r="Q799" s="1" t="s">
        <v>2132</v>
      </c>
      <c r="R799" s="1" t="s">
        <v>275</v>
      </c>
      <c r="S799" s="1" t="s">
        <v>71</v>
      </c>
      <c r="T799" s="3" t="str">
        <f>Sheet4!H799</f>
        <v xml:space="preserve"> View Map </v>
      </c>
    </row>
    <row r="800" spans="1:20" ht="15" x14ac:dyDescent="0.25">
      <c r="A800" s="1" t="s">
        <v>3301</v>
      </c>
      <c r="B800" s="1" t="s">
        <v>3302</v>
      </c>
      <c r="C800" s="2">
        <v>2009</v>
      </c>
      <c r="D800" s="1" t="s">
        <v>24</v>
      </c>
      <c r="E800" s="2">
        <v>0</v>
      </c>
      <c r="F800" s="1" t="s">
        <v>3303</v>
      </c>
      <c r="G800" s="1"/>
      <c r="H800" s="2">
        <v>0</v>
      </c>
      <c r="I800" s="2">
        <v>8000</v>
      </c>
      <c r="J800" s="1" t="s">
        <v>3304</v>
      </c>
      <c r="K800" s="1" t="s">
        <v>28</v>
      </c>
      <c r="L800" s="1" t="s">
        <v>51</v>
      </c>
      <c r="M800" s="1" t="s">
        <v>52</v>
      </c>
      <c r="N800" s="1" t="s">
        <v>20</v>
      </c>
      <c r="O800" s="1" t="s">
        <v>43</v>
      </c>
      <c r="P800" s="1" t="s">
        <v>20</v>
      </c>
      <c r="Q800" s="1" t="s">
        <v>21</v>
      </c>
      <c r="R800" s="1" t="s">
        <v>607</v>
      </c>
      <c r="S800" s="1" t="s">
        <v>71</v>
      </c>
      <c r="T800" s="3" t="str">
        <f>Sheet4!H800</f>
        <v xml:space="preserve"> View Map </v>
      </c>
    </row>
    <row r="801" spans="1:20" ht="15" x14ac:dyDescent="0.25">
      <c r="A801" s="1" t="s">
        <v>3305</v>
      </c>
      <c r="B801" s="1" t="s">
        <v>3306</v>
      </c>
      <c r="C801" s="2">
        <v>2024</v>
      </c>
      <c r="D801" s="1" t="s">
        <v>24</v>
      </c>
      <c r="E801" s="2">
        <v>1</v>
      </c>
      <c r="F801" s="1" t="s">
        <v>3166</v>
      </c>
      <c r="G801" s="1"/>
      <c r="H801" s="2">
        <v>0</v>
      </c>
      <c r="I801" s="2">
        <v>50000</v>
      </c>
      <c r="J801" s="1" t="s">
        <v>3307</v>
      </c>
      <c r="K801" s="2">
        <v>50000</v>
      </c>
      <c r="L801" s="1" t="s">
        <v>68</v>
      </c>
      <c r="M801" s="1" t="s">
        <v>69</v>
      </c>
      <c r="N801" s="1" t="s">
        <v>162</v>
      </c>
      <c r="O801" s="1" t="s">
        <v>1426</v>
      </c>
      <c r="P801" s="1" t="s">
        <v>304</v>
      </c>
      <c r="Q801" s="1" t="s">
        <v>506</v>
      </c>
      <c r="R801" s="1" t="s">
        <v>309</v>
      </c>
      <c r="S801" s="1" t="s">
        <v>71</v>
      </c>
      <c r="T801" s="3" t="str">
        <f>Sheet4!H801</f>
        <v xml:space="preserve"> View Map </v>
      </c>
    </row>
    <row r="802" spans="1:20" ht="15" x14ac:dyDescent="0.25">
      <c r="A802" s="1" t="s">
        <v>3308</v>
      </c>
      <c r="B802" s="1" t="s">
        <v>3309</v>
      </c>
      <c r="C802" s="2">
        <v>2025</v>
      </c>
      <c r="D802" s="1" t="s">
        <v>24</v>
      </c>
      <c r="E802" s="2">
        <v>0</v>
      </c>
      <c r="F802" s="1" t="s">
        <v>3310</v>
      </c>
      <c r="G802" s="1" t="s">
        <v>3311</v>
      </c>
      <c r="H802" s="2">
        <v>132</v>
      </c>
      <c r="I802" s="2">
        <v>29000</v>
      </c>
      <c r="J802" s="1" t="s">
        <v>3312</v>
      </c>
      <c r="K802" s="2">
        <v>70000</v>
      </c>
      <c r="L802" s="1" t="s">
        <v>68</v>
      </c>
      <c r="M802" s="1" t="s">
        <v>69</v>
      </c>
      <c r="N802" s="1" t="s">
        <v>309</v>
      </c>
      <c r="O802" s="1" t="s">
        <v>2656</v>
      </c>
      <c r="P802" s="1" t="s">
        <v>304</v>
      </c>
      <c r="Q802" s="1" t="s">
        <v>305</v>
      </c>
      <c r="R802" s="1" t="s">
        <v>309</v>
      </c>
      <c r="S802" s="1" t="s">
        <v>71</v>
      </c>
      <c r="T802" s="3" t="str">
        <f>Sheet4!H802</f>
        <v xml:space="preserve"> View Map </v>
      </c>
    </row>
    <row r="803" spans="1:20" ht="15" x14ac:dyDescent="0.25">
      <c r="A803" s="1" t="s">
        <v>3313</v>
      </c>
      <c r="B803" s="1" t="s">
        <v>3314</v>
      </c>
      <c r="C803" s="2">
        <v>2024</v>
      </c>
      <c r="D803" s="1" t="s">
        <v>24</v>
      </c>
      <c r="E803" s="2">
        <v>1</v>
      </c>
      <c r="F803" s="1" t="s">
        <v>3315</v>
      </c>
      <c r="G803" s="1" t="s">
        <v>3315</v>
      </c>
      <c r="H803" s="2">
        <v>0</v>
      </c>
      <c r="I803" s="2">
        <v>48000</v>
      </c>
      <c r="J803" s="1" t="s">
        <v>3316</v>
      </c>
      <c r="K803" s="2">
        <v>80000</v>
      </c>
      <c r="L803" s="1" t="s">
        <v>68</v>
      </c>
      <c r="M803" s="1" t="s">
        <v>69</v>
      </c>
      <c r="N803" s="1" t="s">
        <v>72</v>
      </c>
      <c r="O803" s="1" t="s">
        <v>644</v>
      </c>
      <c r="P803" s="1" t="s">
        <v>72</v>
      </c>
      <c r="Q803" s="1" t="s">
        <v>811</v>
      </c>
      <c r="R803" s="1" t="s">
        <v>72</v>
      </c>
      <c r="S803" s="1" t="s">
        <v>71</v>
      </c>
      <c r="T803" s="3" t="str">
        <f>Sheet4!H803</f>
        <v xml:space="preserve"> View Map </v>
      </c>
    </row>
    <row r="804" spans="1:20" ht="15" x14ac:dyDescent="0.25">
      <c r="A804" s="1" t="s">
        <v>3317</v>
      </c>
      <c r="B804" s="1" t="s">
        <v>3318</v>
      </c>
      <c r="C804" s="2">
        <v>2019</v>
      </c>
      <c r="D804" s="1" t="s">
        <v>24</v>
      </c>
      <c r="E804" s="2">
        <v>1</v>
      </c>
      <c r="F804" s="1" t="s">
        <v>3319</v>
      </c>
      <c r="G804" s="1" t="s">
        <v>3320</v>
      </c>
      <c r="H804" s="2">
        <v>30</v>
      </c>
      <c r="I804" s="2">
        <v>25000</v>
      </c>
      <c r="J804" s="1" t="s">
        <v>3321</v>
      </c>
      <c r="K804" s="2">
        <v>25000</v>
      </c>
      <c r="L804" s="1" t="s">
        <v>68</v>
      </c>
      <c r="M804" s="1" t="s">
        <v>69</v>
      </c>
      <c r="N804" s="1" t="s">
        <v>275</v>
      </c>
      <c r="O804" s="1" t="s">
        <v>354</v>
      </c>
      <c r="P804" s="1" t="s">
        <v>275</v>
      </c>
      <c r="Q804" s="1" t="s">
        <v>275</v>
      </c>
      <c r="R804" s="1" t="s">
        <v>275</v>
      </c>
      <c r="S804" s="1" t="s">
        <v>71</v>
      </c>
      <c r="T804" s="3" t="str">
        <f>Sheet4!H804</f>
        <v xml:space="preserve"> View Map </v>
      </c>
    </row>
    <row r="805" spans="1:20" ht="15" x14ac:dyDescent="0.25">
      <c r="A805" s="1" t="s">
        <v>3322</v>
      </c>
      <c r="B805" s="1" t="s">
        <v>3323</v>
      </c>
      <c r="C805" s="2">
        <v>2005</v>
      </c>
      <c r="D805" s="1" t="s">
        <v>24</v>
      </c>
      <c r="E805" s="2">
        <v>1</v>
      </c>
      <c r="F805" s="1" t="s">
        <v>3324</v>
      </c>
      <c r="G805" s="1" t="s">
        <v>3325</v>
      </c>
      <c r="H805" s="2">
        <v>4130</v>
      </c>
      <c r="I805" s="2">
        <v>15500</v>
      </c>
      <c r="J805" s="1" t="s">
        <v>3326</v>
      </c>
      <c r="K805" s="2">
        <v>15500</v>
      </c>
      <c r="L805" s="1" t="s">
        <v>29</v>
      </c>
      <c r="M805" s="1" t="s">
        <v>134</v>
      </c>
      <c r="N805" s="1" t="s">
        <v>160</v>
      </c>
      <c r="O805" s="1" t="s">
        <v>582</v>
      </c>
      <c r="P805" s="1" t="s">
        <v>153</v>
      </c>
      <c r="Q805" s="1" t="s">
        <v>153</v>
      </c>
      <c r="R805" s="1" t="s">
        <v>192</v>
      </c>
      <c r="S805" s="1" t="s">
        <v>71</v>
      </c>
      <c r="T805" s="3" t="str">
        <f>Sheet4!H805</f>
        <v xml:space="preserve"> View Map </v>
      </c>
    </row>
    <row r="806" spans="1:20" ht="15" x14ac:dyDescent="0.25">
      <c r="A806" s="1" t="s">
        <v>3327</v>
      </c>
      <c r="B806" s="1" t="s">
        <v>3328</v>
      </c>
      <c r="C806" s="2">
        <v>2004</v>
      </c>
      <c r="D806" s="1" t="s">
        <v>24</v>
      </c>
      <c r="E806" s="2">
        <v>1</v>
      </c>
      <c r="F806" s="1" t="s">
        <v>3329</v>
      </c>
      <c r="G806" s="1"/>
      <c r="H806" s="2">
        <v>0</v>
      </c>
      <c r="I806" s="2">
        <v>193500</v>
      </c>
      <c r="J806" s="1" t="s">
        <v>3330</v>
      </c>
      <c r="K806" s="2">
        <v>193500</v>
      </c>
      <c r="L806" s="1" t="s">
        <v>68</v>
      </c>
      <c r="M806" s="1" t="s">
        <v>69</v>
      </c>
      <c r="N806" s="1" t="s">
        <v>72</v>
      </c>
      <c r="O806" s="1" t="s">
        <v>78</v>
      </c>
      <c r="P806" s="1" t="s">
        <v>72</v>
      </c>
      <c r="Q806" s="1" t="s">
        <v>73</v>
      </c>
      <c r="R806" s="1" t="s">
        <v>73</v>
      </c>
      <c r="S806" s="1" t="s">
        <v>71</v>
      </c>
      <c r="T806" s="3" t="str">
        <f>Sheet4!H806</f>
        <v xml:space="preserve"> View Map </v>
      </c>
    </row>
    <row r="807" spans="1:20" ht="15" x14ac:dyDescent="0.25">
      <c r="A807" s="1" t="s">
        <v>3331</v>
      </c>
      <c r="B807" s="1" t="s">
        <v>3332</v>
      </c>
      <c r="C807" s="2">
        <v>2005</v>
      </c>
      <c r="D807" s="1" t="s">
        <v>24</v>
      </c>
      <c r="E807" s="2">
        <v>1</v>
      </c>
      <c r="F807" s="1" t="s">
        <v>3333</v>
      </c>
      <c r="G807" s="1"/>
      <c r="H807" s="2">
        <v>0</v>
      </c>
      <c r="I807" s="2">
        <v>35000</v>
      </c>
      <c r="J807" s="1" t="s">
        <v>3334</v>
      </c>
      <c r="K807" s="2">
        <v>35000</v>
      </c>
      <c r="L807" s="1" t="s">
        <v>68</v>
      </c>
      <c r="M807" s="1" t="s">
        <v>69</v>
      </c>
      <c r="N807" s="1" t="s">
        <v>275</v>
      </c>
      <c r="O807" s="1" t="s">
        <v>354</v>
      </c>
      <c r="P807" s="1" t="s">
        <v>275</v>
      </c>
      <c r="Q807" s="1" t="s">
        <v>348</v>
      </c>
      <c r="R807" s="1" t="s">
        <v>275</v>
      </c>
      <c r="S807" s="1" t="s">
        <v>71</v>
      </c>
      <c r="T807" s="3" t="str">
        <f>Sheet4!H807</f>
        <v xml:space="preserve"> View Map </v>
      </c>
    </row>
    <row r="808" spans="1:20" ht="15" x14ac:dyDescent="0.25">
      <c r="A808" s="1" t="s">
        <v>3335</v>
      </c>
      <c r="B808" s="1" t="s">
        <v>3336</v>
      </c>
      <c r="C808" s="2">
        <v>2021</v>
      </c>
      <c r="D808" s="1" t="s">
        <v>24</v>
      </c>
      <c r="E808" s="2">
        <v>1</v>
      </c>
      <c r="F808" s="1" t="s">
        <v>3337</v>
      </c>
      <c r="G808" s="1"/>
      <c r="H808" s="2">
        <v>0</v>
      </c>
      <c r="I808" s="2">
        <v>80000</v>
      </c>
      <c r="J808" s="1" t="s">
        <v>3338</v>
      </c>
      <c r="K808" s="2">
        <v>60500</v>
      </c>
      <c r="L808" s="1" t="s">
        <v>68</v>
      </c>
      <c r="M808" s="1" t="s">
        <v>69</v>
      </c>
      <c r="N808" s="1" t="s">
        <v>309</v>
      </c>
      <c r="O808" s="1" t="s">
        <v>2656</v>
      </c>
      <c r="P808" s="1" t="s">
        <v>304</v>
      </c>
      <c r="Q808" s="1" t="s">
        <v>305</v>
      </c>
      <c r="R808" s="1" t="s">
        <v>309</v>
      </c>
      <c r="S808" s="1" t="s">
        <v>71</v>
      </c>
      <c r="T808" s="3" t="str">
        <f>Sheet4!H808</f>
        <v xml:space="preserve"> View Map </v>
      </c>
    </row>
    <row r="809" spans="1:20" ht="15" x14ac:dyDescent="0.25">
      <c r="A809" s="1" t="s">
        <v>3339</v>
      </c>
      <c r="B809" s="1" t="s">
        <v>3340</v>
      </c>
      <c r="C809" s="2">
        <v>0</v>
      </c>
      <c r="D809" s="1" t="s">
        <v>24</v>
      </c>
      <c r="E809" s="2">
        <v>1</v>
      </c>
      <c r="F809" s="1" t="s">
        <v>3341</v>
      </c>
      <c r="G809" s="1"/>
      <c r="H809" s="2">
        <v>0</v>
      </c>
      <c r="I809" s="2">
        <v>50000</v>
      </c>
      <c r="J809" s="1" t="s">
        <v>3342</v>
      </c>
      <c r="K809" s="2">
        <v>50000</v>
      </c>
      <c r="L809" s="1" t="s">
        <v>68</v>
      </c>
      <c r="M809" s="1" t="s">
        <v>69</v>
      </c>
      <c r="N809" s="1" t="s">
        <v>72</v>
      </c>
      <c r="O809" s="1" t="s">
        <v>115</v>
      </c>
      <c r="P809" s="1" t="s">
        <v>72</v>
      </c>
      <c r="Q809" s="1" t="s">
        <v>639</v>
      </c>
      <c r="R809" s="1" t="s">
        <v>645</v>
      </c>
      <c r="S809" s="1" t="s">
        <v>71</v>
      </c>
      <c r="T809" s="3" t="str">
        <f>Sheet4!H809</f>
        <v xml:space="preserve"> View Map </v>
      </c>
    </row>
    <row r="810" spans="1:20" ht="15" x14ac:dyDescent="0.25">
      <c r="A810" s="1" t="s">
        <v>3343</v>
      </c>
      <c r="B810" s="1" t="s">
        <v>3344</v>
      </c>
      <c r="C810" s="2">
        <v>2024</v>
      </c>
      <c r="D810" s="1" t="s">
        <v>24</v>
      </c>
      <c r="E810" s="2">
        <v>0</v>
      </c>
      <c r="F810" s="1" t="s">
        <v>3345</v>
      </c>
      <c r="G810" s="1"/>
      <c r="H810" s="2">
        <v>0</v>
      </c>
      <c r="I810" s="2">
        <v>21000</v>
      </c>
      <c r="J810" s="1" t="s">
        <v>3346</v>
      </c>
      <c r="K810" s="2">
        <v>21000</v>
      </c>
      <c r="L810" s="1" t="s">
        <v>68</v>
      </c>
      <c r="M810" s="1" t="s">
        <v>69</v>
      </c>
      <c r="N810" s="1" t="s">
        <v>322</v>
      </c>
      <c r="O810" s="1" t="s">
        <v>3344</v>
      </c>
      <c r="P810" s="1" t="s">
        <v>45</v>
      </c>
      <c r="Q810" s="1" t="s">
        <v>122</v>
      </c>
      <c r="R810" s="1" t="s">
        <v>322</v>
      </c>
      <c r="S810" s="1" t="s">
        <v>71</v>
      </c>
      <c r="T810" s="3" t="str">
        <f>Sheet4!H810</f>
        <v xml:space="preserve"> View Map </v>
      </c>
    </row>
    <row r="811" spans="1:20" ht="15" x14ac:dyDescent="0.25">
      <c r="A811" s="1" t="s">
        <v>3347</v>
      </c>
      <c r="B811" s="1" t="s">
        <v>3348</v>
      </c>
      <c r="C811" s="2">
        <v>2021</v>
      </c>
      <c r="D811" s="1" t="s">
        <v>24</v>
      </c>
      <c r="E811" s="2">
        <v>1</v>
      </c>
      <c r="F811" s="1" t="s">
        <v>3348</v>
      </c>
      <c r="G811" s="1"/>
      <c r="H811" s="2">
        <v>3500</v>
      </c>
      <c r="I811" s="2">
        <v>45000</v>
      </c>
      <c r="J811" s="1" t="s">
        <v>3349</v>
      </c>
      <c r="K811" s="2">
        <v>45000</v>
      </c>
      <c r="L811" s="1" t="s">
        <v>68</v>
      </c>
      <c r="M811" s="1" t="s">
        <v>69</v>
      </c>
      <c r="N811" s="1" t="s">
        <v>72</v>
      </c>
      <c r="O811" s="1" t="s">
        <v>2038</v>
      </c>
      <c r="P811" s="1" t="s">
        <v>72</v>
      </c>
      <c r="Q811" s="1" t="s">
        <v>593</v>
      </c>
      <c r="R811" s="1" t="s">
        <v>72</v>
      </c>
      <c r="S811" s="1" t="s">
        <v>71</v>
      </c>
      <c r="T811" s="3" t="str">
        <f>Sheet4!H811</f>
        <v xml:space="preserve"> View Map </v>
      </c>
    </row>
    <row r="812" spans="1:20" ht="15" x14ac:dyDescent="0.25">
      <c r="A812" s="1" t="s">
        <v>3350</v>
      </c>
      <c r="B812" s="1" t="s">
        <v>3351</v>
      </c>
      <c r="C812" s="2">
        <v>2024</v>
      </c>
      <c r="D812" s="1" t="s">
        <v>24</v>
      </c>
      <c r="E812" s="2">
        <v>1</v>
      </c>
      <c r="F812" s="1" t="s">
        <v>3352</v>
      </c>
      <c r="G812" s="1"/>
      <c r="H812" s="2">
        <v>0</v>
      </c>
      <c r="I812" s="2">
        <v>51000</v>
      </c>
      <c r="J812" s="1" t="s">
        <v>3353</v>
      </c>
      <c r="K812" s="2">
        <v>51000</v>
      </c>
      <c r="L812" s="1" t="s">
        <v>68</v>
      </c>
      <c r="M812" s="1" t="s">
        <v>69</v>
      </c>
      <c r="N812" s="1" t="s">
        <v>275</v>
      </c>
      <c r="O812" s="1" t="s">
        <v>2441</v>
      </c>
      <c r="P812" s="1" t="s">
        <v>275</v>
      </c>
      <c r="Q812" s="1" t="s">
        <v>2132</v>
      </c>
      <c r="R812" s="1" t="s">
        <v>275</v>
      </c>
      <c r="S812" s="1" t="s">
        <v>71</v>
      </c>
      <c r="T812" s="3" t="str">
        <f>Sheet4!H812</f>
        <v xml:space="preserve"> View Map </v>
      </c>
    </row>
    <row r="813" spans="1:20" ht="15" x14ac:dyDescent="0.25">
      <c r="A813" s="1" t="s">
        <v>3354</v>
      </c>
      <c r="B813" s="1" t="s">
        <v>3355</v>
      </c>
      <c r="C813" s="2">
        <v>2023</v>
      </c>
      <c r="D813" s="1" t="s">
        <v>24</v>
      </c>
      <c r="E813" s="2">
        <v>1</v>
      </c>
      <c r="F813" s="1" t="s">
        <v>2633</v>
      </c>
      <c r="G813" s="1" t="s">
        <v>2135</v>
      </c>
      <c r="H813" s="2">
        <v>0</v>
      </c>
      <c r="I813" s="2">
        <v>45000</v>
      </c>
      <c r="J813" s="1" t="s">
        <v>3356</v>
      </c>
      <c r="K813" s="2">
        <v>45000</v>
      </c>
      <c r="L813" s="1" t="s">
        <v>68</v>
      </c>
      <c r="M813" s="1" t="s">
        <v>69</v>
      </c>
      <c r="N813" s="1" t="s">
        <v>275</v>
      </c>
      <c r="O813" s="1" t="s">
        <v>2137</v>
      </c>
      <c r="P813" s="1" t="s">
        <v>275</v>
      </c>
      <c r="Q813" s="1" t="s">
        <v>2132</v>
      </c>
      <c r="R813" s="1" t="s">
        <v>275</v>
      </c>
      <c r="S813" s="1" t="s">
        <v>71</v>
      </c>
      <c r="T813" s="3" t="str">
        <f>Sheet4!H813</f>
        <v xml:space="preserve"> View Map </v>
      </c>
    </row>
    <row r="814" spans="1:20" ht="15" x14ac:dyDescent="0.25">
      <c r="A814" s="1" t="s">
        <v>3357</v>
      </c>
      <c r="B814" s="1" t="s">
        <v>3358</v>
      </c>
      <c r="C814" s="2">
        <v>2019</v>
      </c>
      <c r="D814" s="1" t="s">
        <v>24</v>
      </c>
      <c r="E814" s="2">
        <v>0</v>
      </c>
      <c r="F814" s="1" t="s">
        <v>3359</v>
      </c>
      <c r="G814" s="1"/>
      <c r="H814" s="2">
        <v>1311</v>
      </c>
      <c r="I814" s="2">
        <v>5000</v>
      </c>
      <c r="J814" s="1" t="s">
        <v>3360</v>
      </c>
      <c r="K814" s="2">
        <v>5000</v>
      </c>
      <c r="L814" s="1" t="s">
        <v>68</v>
      </c>
      <c r="M814" s="1" t="s">
        <v>69</v>
      </c>
      <c r="N814" s="1" t="s">
        <v>322</v>
      </c>
      <c r="O814" s="1" t="s">
        <v>783</v>
      </c>
      <c r="P814" s="1" t="s">
        <v>162</v>
      </c>
      <c r="Q814" s="1" t="s">
        <v>316</v>
      </c>
      <c r="R814" s="1" t="s">
        <v>90</v>
      </c>
      <c r="S814" s="1" t="s">
        <v>71</v>
      </c>
      <c r="T814" s="3" t="str">
        <f>Sheet4!H814</f>
        <v xml:space="preserve"> View Map </v>
      </c>
    </row>
    <row r="815" spans="1:20" ht="15" x14ac:dyDescent="0.25">
      <c r="A815" s="1" t="s">
        <v>3361</v>
      </c>
      <c r="B815" s="1" t="s">
        <v>3362</v>
      </c>
      <c r="C815" s="2">
        <v>2024</v>
      </c>
      <c r="D815" s="1" t="s">
        <v>24</v>
      </c>
      <c r="E815" s="2">
        <v>1</v>
      </c>
      <c r="F815" s="1" t="s">
        <v>3363</v>
      </c>
      <c r="G815" s="2">
        <v>0</v>
      </c>
      <c r="H815" s="2">
        <v>1550</v>
      </c>
      <c r="I815" s="2">
        <v>98000</v>
      </c>
      <c r="J815" s="1" t="s">
        <v>3364</v>
      </c>
      <c r="K815" s="2">
        <v>98000</v>
      </c>
      <c r="L815" s="1" t="s">
        <v>68</v>
      </c>
      <c r="M815" s="1" t="s">
        <v>69</v>
      </c>
      <c r="N815" s="1" t="s">
        <v>162</v>
      </c>
      <c r="O815" s="1" t="s">
        <v>1568</v>
      </c>
      <c r="P815" s="1" t="s">
        <v>162</v>
      </c>
      <c r="Q815" s="1" t="s">
        <v>162</v>
      </c>
      <c r="R815" s="1" t="s">
        <v>162</v>
      </c>
      <c r="S815" s="1" t="s">
        <v>71</v>
      </c>
      <c r="T815" s="3" t="str">
        <f>Sheet4!H815</f>
        <v xml:space="preserve"> View Map </v>
      </c>
    </row>
    <row r="816" spans="1:20" ht="15" x14ac:dyDescent="0.25">
      <c r="A816" s="1" t="s">
        <v>3365</v>
      </c>
      <c r="B816" s="1" t="s">
        <v>3366</v>
      </c>
      <c r="C816" s="2">
        <v>2020</v>
      </c>
      <c r="D816" s="1" t="s">
        <v>24</v>
      </c>
      <c r="E816" s="2">
        <v>1</v>
      </c>
      <c r="F816" s="1" t="s">
        <v>2145</v>
      </c>
      <c r="G816" s="1"/>
      <c r="H816" s="2">
        <v>1371</v>
      </c>
      <c r="I816" s="2">
        <v>35000</v>
      </c>
      <c r="J816" s="1" t="s">
        <v>3367</v>
      </c>
      <c r="K816" s="2">
        <v>35000</v>
      </c>
      <c r="L816" s="1" t="s">
        <v>68</v>
      </c>
      <c r="M816" s="1" t="s">
        <v>69</v>
      </c>
      <c r="N816" s="1" t="s">
        <v>162</v>
      </c>
      <c r="O816" s="1" t="s">
        <v>770</v>
      </c>
      <c r="P816" s="1" t="s">
        <v>162</v>
      </c>
      <c r="Q816" s="1" t="s">
        <v>506</v>
      </c>
      <c r="R816" s="1" t="s">
        <v>162</v>
      </c>
      <c r="S816" s="1" t="s">
        <v>71</v>
      </c>
      <c r="T816" s="3" t="str">
        <f>Sheet4!H816</f>
        <v xml:space="preserve"> View Map </v>
      </c>
    </row>
    <row r="817" spans="1:20" ht="15" x14ac:dyDescent="0.25">
      <c r="A817" s="1" t="s">
        <v>3368</v>
      </c>
      <c r="B817" s="1" t="s">
        <v>3369</v>
      </c>
      <c r="C817" s="2">
        <v>2007</v>
      </c>
      <c r="D817" s="1" t="s">
        <v>24</v>
      </c>
      <c r="E817" s="2">
        <v>1</v>
      </c>
      <c r="F817" s="1" t="s">
        <v>3370</v>
      </c>
      <c r="G817" s="1"/>
      <c r="H817" s="2">
        <v>0</v>
      </c>
      <c r="I817" s="2">
        <v>75000</v>
      </c>
      <c r="J817" s="1" t="s">
        <v>3371</v>
      </c>
      <c r="K817" s="2">
        <v>75000</v>
      </c>
      <c r="L817" s="1" t="s">
        <v>68</v>
      </c>
      <c r="M817" s="1" t="s">
        <v>69</v>
      </c>
      <c r="N817" s="1" t="s">
        <v>162</v>
      </c>
      <c r="O817" s="1" t="s">
        <v>167</v>
      </c>
      <c r="P817" s="1" t="s">
        <v>162</v>
      </c>
      <c r="Q817" s="1" t="s">
        <v>311</v>
      </c>
      <c r="R817" s="1" t="s">
        <v>162</v>
      </c>
      <c r="S817" s="1" t="s">
        <v>71</v>
      </c>
      <c r="T817" s="3" t="str">
        <f>Sheet4!H817</f>
        <v xml:space="preserve"> View Map </v>
      </c>
    </row>
    <row r="818" spans="1:20" ht="15" x14ac:dyDescent="0.25">
      <c r="A818" s="1" t="s">
        <v>3372</v>
      </c>
      <c r="B818" s="1" t="s">
        <v>3373</v>
      </c>
      <c r="C818" s="2">
        <v>2020</v>
      </c>
      <c r="D818" s="1" t="s">
        <v>24</v>
      </c>
      <c r="E818" s="2">
        <v>1</v>
      </c>
      <c r="F818" s="1" t="s">
        <v>3374</v>
      </c>
      <c r="G818" s="1"/>
      <c r="H818" s="2">
        <v>35</v>
      </c>
      <c r="I818" s="2">
        <v>77500</v>
      </c>
      <c r="J818" s="1" t="s">
        <v>3375</v>
      </c>
      <c r="K818" s="2">
        <v>77500</v>
      </c>
      <c r="L818" s="1" t="s">
        <v>68</v>
      </c>
      <c r="M818" s="1" t="s">
        <v>69</v>
      </c>
      <c r="N818" s="1" t="s">
        <v>162</v>
      </c>
      <c r="O818" s="1" t="s">
        <v>1568</v>
      </c>
      <c r="P818" s="1" t="s">
        <v>162</v>
      </c>
      <c r="Q818" s="1" t="s">
        <v>162</v>
      </c>
      <c r="R818" s="1" t="s">
        <v>162</v>
      </c>
      <c r="S818" s="1" t="s">
        <v>71</v>
      </c>
      <c r="T818" s="3" t="str">
        <f>Sheet4!H818</f>
        <v xml:space="preserve"> View Map </v>
      </c>
    </row>
    <row r="819" spans="1:20" ht="15" x14ac:dyDescent="0.25">
      <c r="A819" s="1" t="s">
        <v>3376</v>
      </c>
      <c r="B819" s="1" t="s">
        <v>3377</v>
      </c>
      <c r="C819" s="2">
        <v>2014</v>
      </c>
      <c r="D819" s="1" t="s">
        <v>24</v>
      </c>
      <c r="E819" s="2">
        <v>0</v>
      </c>
      <c r="F819" s="1"/>
      <c r="G819" s="1"/>
      <c r="H819" s="2">
        <v>0</v>
      </c>
      <c r="I819" s="2">
        <v>0</v>
      </c>
      <c r="J819" s="1"/>
      <c r="K819" s="1" t="s">
        <v>28</v>
      </c>
      <c r="L819" s="1" t="s">
        <v>51</v>
      </c>
      <c r="M819" s="1" t="s">
        <v>28</v>
      </c>
      <c r="N819" s="1" t="s">
        <v>53</v>
      </c>
      <c r="O819" s="1" t="s">
        <v>28</v>
      </c>
      <c r="P819" s="1" t="s">
        <v>45</v>
      </c>
      <c r="Q819" s="1" t="s">
        <v>28</v>
      </c>
      <c r="R819" s="1" t="s">
        <v>128</v>
      </c>
      <c r="S819" s="1" t="s">
        <v>71</v>
      </c>
      <c r="T819" s="3" t="str">
        <f>Sheet4!H819</f>
        <v xml:space="preserve"> View Map </v>
      </c>
    </row>
    <row r="820" spans="1:20" ht="15" x14ac:dyDescent="0.25">
      <c r="A820" s="1" t="s">
        <v>3378</v>
      </c>
      <c r="B820" s="1" t="s">
        <v>3379</v>
      </c>
      <c r="C820" s="2">
        <v>2023</v>
      </c>
      <c r="D820" s="1" t="s">
        <v>24</v>
      </c>
      <c r="E820" s="2">
        <v>1</v>
      </c>
      <c r="F820" s="1" t="s">
        <v>3380</v>
      </c>
      <c r="G820" s="1"/>
      <c r="H820" s="2">
        <v>0</v>
      </c>
      <c r="I820" s="2">
        <v>35000</v>
      </c>
      <c r="J820" s="1" t="s">
        <v>3381</v>
      </c>
      <c r="K820" s="2">
        <v>35000</v>
      </c>
      <c r="L820" s="1" t="s">
        <v>51</v>
      </c>
      <c r="M820" s="1" t="s">
        <v>52</v>
      </c>
      <c r="N820" s="1" t="s">
        <v>53</v>
      </c>
      <c r="O820" s="1" t="s">
        <v>84</v>
      </c>
      <c r="P820" s="1" t="s">
        <v>45</v>
      </c>
      <c r="Q820" s="1" t="s">
        <v>45</v>
      </c>
      <c r="R820" s="1" t="s">
        <v>55</v>
      </c>
      <c r="S820" s="1" t="s">
        <v>71</v>
      </c>
      <c r="T820" s="3" t="str">
        <f>Sheet4!H820</f>
        <v xml:space="preserve"> View Map </v>
      </c>
    </row>
    <row r="821" spans="1:20" ht="15" x14ac:dyDescent="0.25">
      <c r="A821" s="1" t="s">
        <v>3382</v>
      </c>
      <c r="B821" s="1" t="s">
        <v>969</v>
      </c>
      <c r="C821" s="2">
        <v>2024</v>
      </c>
      <c r="D821" s="1" t="s">
        <v>24</v>
      </c>
      <c r="E821" s="2">
        <v>1</v>
      </c>
      <c r="F821" s="1" t="s">
        <v>3383</v>
      </c>
      <c r="G821" s="1"/>
      <c r="H821" s="2">
        <v>476</v>
      </c>
      <c r="I821" s="2">
        <v>15200</v>
      </c>
      <c r="J821" s="1" t="s">
        <v>3384</v>
      </c>
      <c r="K821" s="2">
        <v>15200</v>
      </c>
      <c r="L821" s="1" t="s">
        <v>51</v>
      </c>
      <c r="M821" s="1" t="s">
        <v>52</v>
      </c>
      <c r="N821" s="1" t="s">
        <v>53</v>
      </c>
      <c r="O821" s="1" t="s">
        <v>338</v>
      </c>
      <c r="P821" s="1" t="s">
        <v>45</v>
      </c>
      <c r="Q821" s="1" t="s">
        <v>53</v>
      </c>
      <c r="R821" s="1" t="s">
        <v>105</v>
      </c>
      <c r="S821" s="1" t="s">
        <v>71</v>
      </c>
      <c r="T821" s="3" t="str">
        <f>Sheet4!H821</f>
        <v xml:space="preserve"> View Map </v>
      </c>
    </row>
    <row r="822" spans="1:20" ht="15" x14ac:dyDescent="0.25">
      <c r="A822" s="1" t="s">
        <v>3385</v>
      </c>
      <c r="B822" s="1" t="s">
        <v>3386</v>
      </c>
      <c r="C822" s="2">
        <v>2021</v>
      </c>
      <c r="D822" s="1" t="s">
        <v>24</v>
      </c>
      <c r="E822" s="2">
        <v>1</v>
      </c>
      <c r="F822" s="1" t="s">
        <v>3387</v>
      </c>
      <c r="G822" s="1"/>
      <c r="H822" s="2">
        <v>0</v>
      </c>
      <c r="I822" s="2">
        <v>65000</v>
      </c>
      <c r="J822" s="1" t="s">
        <v>3388</v>
      </c>
      <c r="K822" s="2">
        <v>65000</v>
      </c>
      <c r="L822" s="1" t="s">
        <v>68</v>
      </c>
      <c r="M822" s="1" t="s">
        <v>69</v>
      </c>
      <c r="N822" s="1" t="s">
        <v>53</v>
      </c>
      <c r="O822" s="1" t="s">
        <v>338</v>
      </c>
      <c r="P822" s="1" t="s">
        <v>45</v>
      </c>
      <c r="Q822" s="1" t="s">
        <v>332</v>
      </c>
      <c r="R822" s="1" t="s">
        <v>128</v>
      </c>
      <c r="S822" s="1" t="s">
        <v>71</v>
      </c>
      <c r="T822" s="3" t="str">
        <f>Sheet4!H822</f>
        <v xml:space="preserve"> View Map </v>
      </c>
    </row>
    <row r="823" spans="1:20" ht="15" x14ac:dyDescent="0.25">
      <c r="A823" s="1" t="s">
        <v>3389</v>
      </c>
      <c r="B823" s="1" t="s">
        <v>3390</v>
      </c>
      <c r="C823" s="2">
        <v>2015</v>
      </c>
      <c r="D823" s="1" t="s">
        <v>24</v>
      </c>
      <c r="E823" s="2">
        <v>1</v>
      </c>
      <c r="F823" s="1" t="s">
        <v>3391</v>
      </c>
      <c r="G823" s="1" t="s">
        <v>3392</v>
      </c>
      <c r="H823" s="2">
        <v>110</v>
      </c>
      <c r="I823" s="2">
        <v>50000</v>
      </c>
      <c r="J823" s="1" t="s">
        <v>3393</v>
      </c>
      <c r="K823" s="2">
        <v>50000</v>
      </c>
      <c r="L823" s="1" t="s">
        <v>68</v>
      </c>
      <c r="M823" s="1" t="s">
        <v>69</v>
      </c>
      <c r="N823" s="1" t="s">
        <v>72</v>
      </c>
      <c r="O823" s="1" t="s">
        <v>644</v>
      </c>
      <c r="P823" s="1" t="s">
        <v>72</v>
      </c>
      <c r="Q823" s="1" t="s">
        <v>811</v>
      </c>
      <c r="R823" s="1" t="s">
        <v>72</v>
      </c>
      <c r="S823" s="1" t="s">
        <v>71</v>
      </c>
      <c r="T823" s="3" t="str">
        <f>Sheet4!H823</f>
        <v xml:space="preserve"> View Map </v>
      </c>
    </row>
    <row r="824" spans="1:20" ht="15" x14ac:dyDescent="0.25">
      <c r="A824" s="1" t="s">
        <v>3394</v>
      </c>
      <c r="B824" s="1" t="s">
        <v>3395</v>
      </c>
      <c r="C824" s="2">
        <v>2025</v>
      </c>
      <c r="D824" s="1" t="s">
        <v>24</v>
      </c>
      <c r="E824" s="2">
        <v>1</v>
      </c>
      <c r="F824" s="1" t="s">
        <v>3396</v>
      </c>
      <c r="G824" s="1" t="s">
        <v>3397</v>
      </c>
      <c r="H824" s="2">
        <v>550</v>
      </c>
      <c r="I824" s="2">
        <v>21000</v>
      </c>
      <c r="J824" s="1" t="s">
        <v>3398</v>
      </c>
      <c r="K824" s="1" t="s">
        <v>28</v>
      </c>
      <c r="L824" s="1" t="s">
        <v>51</v>
      </c>
      <c r="M824" s="1" t="s">
        <v>52</v>
      </c>
      <c r="N824" s="1" t="s">
        <v>53</v>
      </c>
      <c r="O824" s="1" t="s">
        <v>84</v>
      </c>
      <c r="P824" s="1" t="s">
        <v>45</v>
      </c>
      <c r="Q824" s="1" t="s">
        <v>45</v>
      </c>
      <c r="R824" s="1" t="s">
        <v>105</v>
      </c>
      <c r="S824" s="1" t="s">
        <v>71</v>
      </c>
      <c r="T824" s="3" t="str">
        <f>Sheet4!H824</f>
        <v xml:space="preserve"> View Map </v>
      </c>
    </row>
    <row r="825" spans="1:20" ht="15" x14ac:dyDescent="0.25">
      <c r="A825" s="1" t="s">
        <v>3399</v>
      </c>
      <c r="B825" s="1" t="s">
        <v>3400</v>
      </c>
      <c r="C825" s="2">
        <v>2023</v>
      </c>
      <c r="D825" s="1" t="s">
        <v>24</v>
      </c>
      <c r="E825" s="2">
        <v>1</v>
      </c>
      <c r="F825" s="1" t="s">
        <v>3401</v>
      </c>
      <c r="G825" s="1"/>
      <c r="H825" s="2">
        <v>0</v>
      </c>
      <c r="I825" s="2">
        <v>50000</v>
      </c>
      <c r="J825" s="1" t="s">
        <v>3402</v>
      </c>
      <c r="K825" s="2">
        <v>50000</v>
      </c>
      <c r="L825" s="1" t="s">
        <v>51</v>
      </c>
      <c r="M825" s="1" t="s">
        <v>52</v>
      </c>
      <c r="N825" s="1" t="s">
        <v>53</v>
      </c>
      <c r="O825" s="1" t="s">
        <v>412</v>
      </c>
      <c r="P825" s="1" t="s">
        <v>45</v>
      </c>
      <c r="Q825" s="1" t="s">
        <v>45</v>
      </c>
      <c r="R825" s="1" t="s">
        <v>55</v>
      </c>
      <c r="S825" s="1" t="s">
        <v>71</v>
      </c>
      <c r="T825" s="3" t="str">
        <f>Sheet4!H825</f>
        <v xml:space="preserve"> View Map </v>
      </c>
    </row>
    <row r="826" spans="1:20" ht="15" x14ac:dyDescent="0.25">
      <c r="A826" s="1" t="s">
        <v>3403</v>
      </c>
      <c r="B826" s="1" t="s">
        <v>3404</v>
      </c>
      <c r="C826" s="2">
        <v>2009</v>
      </c>
      <c r="D826" s="1" t="s">
        <v>24</v>
      </c>
      <c r="E826" s="2">
        <v>0</v>
      </c>
      <c r="F826" s="1" t="s">
        <v>3404</v>
      </c>
      <c r="G826" s="1"/>
      <c r="H826" s="2">
        <v>0</v>
      </c>
      <c r="I826" s="2">
        <v>0</v>
      </c>
      <c r="J826" s="1" t="s">
        <v>3405</v>
      </c>
      <c r="K826" s="1" t="s">
        <v>28</v>
      </c>
      <c r="L826" s="1" t="s">
        <v>68</v>
      </c>
      <c r="M826" s="1" t="s">
        <v>69</v>
      </c>
      <c r="N826" s="1" t="s">
        <v>162</v>
      </c>
      <c r="O826" s="1" t="s">
        <v>167</v>
      </c>
      <c r="P826" s="1" t="s">
        <v>162</v>
      </c>
      <c r="Q826" s="1" t="s">
        <v>311</v>
      </c>
      <c r="R826" s="1" t="s">
        <v>162</v>
      </c>
      <c r="S826" s="1" t="s">
        <v>71</v>
      </c>
      <c r="T826" s="3" t="str">
        <f>Sheet4!H826</f>
        <v xml:space="preserve"> View Map </v>
      </c>
    </row>
    <row r="827" spans="1:20" ht="15" x14ac:dyDescent="0.25">
      <c r="A827" s="1" t="s">
        <v>3406</v>
      </c>
      <c r="B827" s="1" t="s">
        <v>3407</v>
      </c>
      <c r="C827" s="2">
        <v>2018</v>
      </c>
      <c r="D827" s="1" t="s">
        <v>24</v>
      </c>
      <c r="E827" s="2">
        <v>1</v>
      </c>
      <c r="F827" s="1" t="s">
        <v>3408</v>
      </c>
      <c r="G827" s="1" t="s">
        <v>3408</v>
      </c>
      <c r="H827" s="2">
        <v>0</v>
      </c>
      <c r="I827" s="2">
        <v>17000</v>
      </c>
      <c r="J827" s="1" t="s">
        <v>3409</v>
      </c>
      <c r="K827" s="2">
        <v>17000</v>
      </c>
      <c r="L827" s="1" t="s">
        <v>68</v>
      </c>
      <c r="M827" s="1" t="s">
        <v>69</v>
      </c>
      <c r="N827" s="1" t="s">
        <v>275</v>
      </c>
      <c r="O827" s="1" t="s">
        <v>407</v>
      </c>
      <c r="P827" s="1" t="s">
        <v>275</v>
      </c>
      <c r="Q827" s="1" t="s">
        <v>402</v>
      </c>
      <c r="R827" s="1" t="s">
        <v>275</v>
      </c>
      <c r="S827" s="1" t="s">
        <v>71</v>
      </c>
      <c r="T827" s="3" t="str">
        <f>Sheet4!H827</f>
        <v xml:space="preserve"> View Map </v>
      </c>
    </row>
    <row r="828" spans="1:20" ht="15" x14ac:dyDescent="0.25">
      <c r="A828" s="1" t="s">
        <v>3410</v>
      </c>
      <c r="B828" s="1" t="s">
        <v>3411</v>
      </c>
      <c r="C828" s="2">
        <v>2018</v>
      </c>
      <c r="D828" s="1" t="s">
        <v>24</v>
      </c>
      <c r="E828" s="2">
        <v>1</v>
      </c>
      <c r="F828" s="1" t="s">
        <v>3412</v>
      </c>
      <c r="G828" s="1"/>
      <c r="H828" s="2">
        <v>300</v>
      </c>
      <c r="I828" s="2">
        <v>32000</v>
      </c>
      <c r="J828" s="1" t="s">
        <v>3413</v>
      </c>
      <c r="K828" s="2">
        <v>32000</v>
      </c>
      <c r="L828" s="1" t="s">
        <v>68</v>
      </c>
      <c r="M828" s="1" t="s">
        <v>69</v>
      </c>
      <c r="N828" s="1" t="s">
        <v>53</v>
      </c>
      <c r="O828" s="1" t="s">
        <v>62</v>
      </c>
      <c r="P828" s="1" t="s">
        <v>45</v>
      </c>
      <c r="Q828" s="1" t="s">
        <v>46</v>
      </c>
      <c r="R828" s="1" t="s">
        <v>55</v>
      </c>
      <c r="S828" s="1" t="s">
        <v>71</v>
      </c>
      <c r="T828" s="3" t="str">
        <f>Sheet4!H828</f>
        <v xml:space="preserve"> View Map </v>
      </c>
    </row>
    <row r="829" spans="1:20" ht="15" x14ac:dyDescent="0.25">
      <c r="A829" s="1" t="s">
        <v>3414</v>
      </c>
      <c r="B829" s="1" t="s">
        <v>3415</v>
      </c>
      <c r="C829" s="2">
        <v>2019</v>
      </c>
      <c r="D829" s="1" t="s">
        <v>24</v>
      </c>
      <c r="E829" s="2">
        <v>1</v>
      </c>
      <c r="F829" s="1" t="s">
        <v>3416</v>
      </c>
      <c r="G829" s="1"/>
      <c r="H829" s="2">
        <v>0</v>
      </c>
      <c r="I829" s="2">
        <v>64000</v>
      </c>
      <c r="J829" s="1" t="s">
        <v>3417</v>
      </c>
      <c r="K829" s="2">
        <v>64000</v>
      </c>
      <c r="L829" s="1" t="s">
        <v>68</v>
      </c>
      <c r="M829" s="1" t="s">
        <v>69</v>
      </c>
      <c r="N829" s="1" t="s">
        <v>72</v>
      </c>
      <c r="O829" s="1" t="s">
        <v>78</v>
      </c>
      <c r="P829" s="1" t="s">
        <v>72</v>
      </c>
      <c r="Q829" s="1" t="s">
        <v>2047</v>
      </c>
      <c r="R829" s="1" t="s">
        <v>645</v>
      </c>
      <c r="S829" s="1" t="s">
        <v>299</v>
      </c>
      <c r="T829" s="3" t="str">
        <f>Sheet4!H829</f>
        <v xml:space="preserve"> View Map </v>
      </c>
    </row>
    <row r="830" spans="1:20" ht="15" x14ac:dyDescent="0.25">
      <c r="A830" s="1" t="s">
        <v>3418</v>
      </c>
      <c r="B830" s="1" t="s">
        <v>3419</v>
      </c>
      <c r="C830" s="2">
        <v>2016</v>
      </c>
      <c r="D830" s="1" t="s">
        <v>24</v>
      </c>
      <c r="E830" s="2">
        <v>0</v>
      </c>
      <c r="F830" s="1"/>
      <c r="G830" s="1"/>
      <c r="H830" s="2">
        <v>0</v>
      </c>
      <c r="I830" s="2">
        <v>0</v>
      </c>
      <c r="J830" s="1" t="s">
        <v>3420</v>
      </c>
      <c r="K830" s="1" t="s">
        <v>28</v>
      </c>
      <c r="L830" s="1" t="s">
        <v>51</v>
      </c>
      <c r="M830" s="1" t="s">
        <v>28</v>
      </c>
      <c r="N830" s="1" t="s">
        <v>53</v>
      </c>
      <c r="O830" s="1" t="s">
        <v>84</v>
      </c>
      <c r="P830" s="1" t="s">
        <v>45</v>
      </c>
      <c r="Q830" s="1" t="s">
        <v>45</v>
      </c>
      <c r="R830" s="1" t="s">
        <v>55</v>
      </c>
      <c r="S830" s="1" t="s">
        <v>71</v>
      </c>
      <c r="T830" s="3" t="str">
        <f>Sheet4!H830</f>
        <v xml:space="preserve"> View Map </v>
      </c>
    </row>
    <row r="831" spans="1:20" ht="15" x14ac:dyDescent="0.25">
      <c r="A831" s="1" t="s">
        <v>3421</v>
      </c>
      <c r="B831" s="1" t="s">
        <v>3422</v>
      </c>
      <c r="C831" s="2">
        <v>2009</v>
      </c>
      <c r="D831" s="1" t="s">
        <v>24</v>
      </c>
      <c r="E831" s="2">
        <v>0</v>
      </c>
      <c r="F831" s="1" t="s">
        <v>3423</v>
      </c>
      <c r="G831" s="1"/>
      <c r="H831" s="2">
        <v>0</v>
      </c>
      <c r="I831" s="2">
        <v>88770</v>
      </c>
      <c r="J831" s="1" t="s">
        <v>3424</v>
      </c>
      <c r="K831" s="1" t="s">
        <v>28</v>
      </c>
      <c r="L831" s="1" t="s">
        <v>68</v>
      </c>
      <c r="M831" s="1" t="s">
        <v>69</v>
      </c>
      <c r="N831" s="1" t="s">
        <v>53</v>
      </c>
      <c r="O831" s="1" t="s">
        <v>54</v>
      </c>
      <c r="P831" s="1" t="s">
        <v>45</v>
      </c>
      <c r="Q831" s="1" t="s">
        <v>46</v>
      </c>
      <c r="R831" s="1" t="s">
        <v>55</v>
      </c>
      <c r="S831" s="1" t="s">
        <v>71</v>
      </c>
      <c r="T831" s="3" t="str">
        <f>Sheet4!H831</f>
        <v xml:space="preserve"> View Map </v>
      </c>
    </row>
    <row r="832" spans="1:20" ht="15" x14ac:dyDescent="0.25">
      <c r="A832" s="1" t="s">
        <v>3425</v>
      </c>
      <c r="B832" s="1" t="s">
        <v>3426</v>
      </c>
      <c r="C832" s="2">
        <v>2016</v>
      </c>
      <c r="D832" s="1" t="s">
        <v>24</v>
      </c>
      <c r="E832" s="2">
        <v>0</v>
      </c>
      <c r="F832" s="1"/>
      <c r="G832" s="1"/>
      <c r="H832" s="2">
        <v>0</v>
      </c>
      <c r="I832" s="2">
        <v>0</v>
      </c>
      <c r="J832" s="1" t="s">
        <v>3427</v>
      </c>
      <c r="K832" s="1" t="s">
        <v>28</v>
      </c>
      <c r="L832" s="1" t="s">
        <v>68</v>
      </c>
      <c r="M832" s="1" t="s">
        <v>69</v>
      </c>
      <c r="N832" s="1" t="s">
        <v>53</v>
      </c>
      <c r="O832" s="1" t="s">
        <v>338</v>
      </c>
      <c r="P832" s="1" t="s">
        <v>45</v>
      </c>
      <c r="Q832" s="1" t="s">
        <v>332</v>
      </c>
      <c r="R832" s="1" t="s">
        <v>128</v>
      </c>
      <c r="S832" s="1" t="s">
        <v>71</v>
      </c>
      <c r="T832" s="3" t="str">
        <f>Sheet4!H832</f>
        <v xml:space="preserve"> View Map </v>
      </c>
    </row>
    <row r="833" spans="1:20" ht="15" x14ac:dyDescent="0.25">
      <c r="A833" s="1" t="s">
        <v>3428</v>
      </c>
      <c r="B833" s="1" t="s">
        <v>3429</v>
      </c>
      <c r="C833" s="2">
        <v>1998</v>
      </c>
      <c r="D833" s="1" t="s">
        <v>24</v>
      </c>
      <c r="E833" s="2">
        <v>1</v>
      </c>
      <c r="F833" s="1" t="s">
        <v>3430</v>
      </c>
      <c r="G833" s="1"/>
      <c r="H833" s="2">
        <v>1670</v>
      </c>
      <c r="I833" s="2">
        <v>35000</v>
      </c>
      <c r="J833" s="1" t="s">
        <v>3431</v>
      </c>
      <c r="K833" s="2">
        <v>27000</v>
      </c>
      <c r="L833" s="1" t="s">
        <v>68</v>
      </c>
      <c r="M833" s="1" t="s">
        <v>69</v>
      </c>
      <c r="N833" s="1" t="s">
        <v>53</v>
      </c>
      <c r="O833" s="1" t="s">
        <v>127</v>
      </c>
      <c r="P833" s="1" t="s">
        <v>45</v>
      </c>
      <c r="Q833" s="1" t="s">
        <v>122</v>
      </c>
      <c r="R833" s="1" t="s">
        <v>105</v>
      </c>
      <c r="S833" s="1" t="s">
        <v>71</v>
      </c>
      <c r="T833" s="3" t="str">
        <f>Sheet4!H833</f>
        <v xml:space="preserve"> View Map </v>
      </c>
    </row>
    <row r="834" spans="1:20" ht="15" x14ac:dyDescent="0.25">
      <c r="A834" s="1" t="s">
        <v>3432</v>
      </c>
      <c r="B834" s="1" t="s">
        <v>3433</v>
      </c>
      <c r="C834" s="2">
        <v>2022</v>
      </c>
      <c r="D834" s="1" t="s">
        <v>24</v>
      </c>
      <c r="E834" s="2">
        <v>0</v>
      </c>
      <c r="F834" s="1" t="s">
        <v>3434</v>
      </c>
      <c r="G834" s="1"/>
      <c r="H834" s="2">
        <v>0</v>
      </c>
      <c r="I834" s="2">
        <v>75000</v>
      </c>
      <c r="J834" s="1" t="s">
        <v>3435</v>
      </c>
      <c r="K834" s="2">
        <v>75000</v>
      </c>
      <c r="L834" s="1" t="s">
        <v>68</v>
      </c>
      <c r="M834" s="1" t="s">
        <v>69</v>
      </c>
      <c r="N834" s="1" t="s">
        <v>275</v>
      </c>
      <c r="O834" s="1" t="s">
        <v>2779</v>
      </c>
      <c r="P834" s="1" t="s">
        <v>275</v>
      </c>
      <c r="Q834" s="1" t="s">
        <v>275</v>
      </c>
      <c r="R834" s="1" t="s">
        <v>275</v>
      </c>
      <c r="S834" s="1" t="s">
        <v>71</v>
      </c>
      <c r="T834" s="3" t="str">
        <f>Sheet4!H834</f>
        <v xml:space="preserve"> View Map </v>
      </c>
    </row>
    <row r="835" spans="1:20" ht="15" x14ac:dyDescent="0.25">
      <c r="A835" s="1" t="s">
        <v>3436</v>
      </c>
      <c r="B835" s="1" t="s">
        <v>3437</v>
      </c>
      <c r="C835" s="2">
        <v>2009</v>
      </c>
      <c r="D835" s="1" t="s">
        <v>24</v>
      </c>
      <c r="E835" s="2">
        <v>0</v>
      </c>
      <c r="F835" s="1"/>
      <c r="G835" s="1"/>
      <c r="H835" s="2">
        <v>0</v>
      </c>
      <c r="I835" s="2">
        <v>0</v>
      </c>
      <c r="J835" s="1"/>
      <c r="K835" s="1" t="s">
        <v>28</v>
      </c>
      <c r="L835" s="1" t="s">
        <v>68</v>
      </c>
      <c r="M835" s="1" t="s">
        <v>69</v>
      </c>
      <c r="N835" s="1" t="s">
        <v>275</v>
      </c>
      <c r="O835" s="1" t="s">
        <v>28</v>
      </c>
      <c r="P835" s="1" t="s">
        <v>275</v>
      </c>
      <c r="Q835" s="1" t="s">
        <v>28</v>
      </c>
      <c r="R835" s="1" t="s">
        <v>275</v>
      </c>
      <c r="S835" s="1" t="s">
        <v>71</v>
      </c>
      <c r="T835" s="3" t="str">
        <f>Sheet4!H835</f>
        <v xml:space="preserve"> View Map </v>
      </c>
    </row>
    <row r="836" spans="1:20" ht="15" x14ac:dyDescent="0.25">
      <c r="A836" s="1" t="s">
        <v>3438</v>
      </c>
      <c r="B836" s="1" t="s">
        <v>3439</v>
      </c>
      <c r="C836" s="2">
        <v>2009</v>
      </c>
      <c r="D836" s="1" t="s">
        <v>24</v>
      </c>
      <c r="E836" s="2">
        <v>1</v>
      </c>
      <c r="F836" s="1" t="s">
        <v>3440</v>
      </c>
      <c r="G836" s="1"/>
      <c r="H836" s="2">
        <v>0</v>
      </c>
      <c r="I836" s="2">
        <v>53000</v>
      </c>
      <c r="J836" s="1" t="s">
        <v>3441</v>
      </c>
      <c r="K836" s="2">
        <v>53000</v>
      </c>
      <c r="L836" s="1" t="s">
        <v>68</v>
      </c>
      <c r="M836" s="1" t="s">
        <v>69</v>
      </c>
      <c r="N836" s="1" t="s">
        <v>275</v>
      </c>
      <c r="O836" s="1" t="s">
        <v>2779</v>
      </c>
      <c r="P836" s="1" t="s">
        <v>275</v>
      </c>
      <c r="Q836" s="1" t="s">
        <v>275</v>
      </c>
      <c r="R836" s="1" t="s">
        <v>275</v>
      </c>
      <c r="S836" s="1" t="s">
        <v>71</v>
      </c>
      <c r="T836" s="3" t="str">
        <f>Sheet4!H836</f>
        <v xml:space="preserve"> View Map </v>
      </c>
    </row>
    <row r="837" spans="1:20" ht="15" x14ac:dyDescent="0.25">
      <c r="A837" s="1" t="s">
        <v>3442</v>
      </c>
      <c r="B837" s="1" t="s">
        <v>1016</v>
      </c>
      <c r="C837" s="2">
        <v>2011</v>
      </c>
      <c r="D837" s="1" t="s">
        <v>24</v>
      </c>
      <c r="E837" s="2">
        <v>1</v>
      </c>
      <c r="F837" s="1" t="s">
        <v>1016</v>
      </c>
      <c r="G837" s="1"/>
      <c r="H837" s="2">
        <v>3560</v>
      </c>
      <c r="I837" s="2">
        <v>75000</v>
      </c>
      <c r="J837" s="1" t="s">
        <v>3443</v>
      </c>
      <c r="K837" s="2">
        <v>75000</v>
      </c>
      <c r="L837" s="1" t="s">
        <v>51</v>
      </c>
      <c r="M837" s="1" t="s">
        <v>52</v>
      </c>
      <c r="N837" s="1" t="s">
        <v>53</v>
      </c>
      <c r="O837" s="1" t="s">
        <v>62</v>
      </c>
      <c r="P837" s="1" t="s">
        <v>45</v>
      </c>
      <c r="Q837" s="1" t="s">
        <v>46</v>
      </c>
      <c r="R837" s="1" t="s">
        <v>55</v>
      </c>
      <c r="S837" s="1" t="s">
        <v>71</v>
      </c>
      <c r="T837" s="3" t="str">
        <f>Sheet4!H837</f>
        <v xml:space="preserve"> View Map </v>
      </c>
    </row>
    <row r="838" spans="1:20" ht="15" x14ac:dyDescent="0.25">
      <c r="A838" s="1" t="s">
        <v>3444</v>
      </c>
      <c r="B838" s="1" t="s">
        <v>3445</v>
      </c>
      <c r="C838" s="2">
        <v>2022</v>
      </c>
      <c r="D838" s="1" t="s">
        <v>24</v>
      </c>
      <c r="E838" s="2">
        <v>1</v>
      </c>
      <c r="F838" s="1" t="s">
        <v>3446</v>
      </c>
      <c r="G838" s="1" t="s">
        <v>3446</v>
      </c>
      <c r="H838" s="2">
        <v>0</v>
      </c>
      <c r="I838" s="2">
        <v>35000</v>
      </c>
      <c r="J838" s="1" t="s">
        <v>3447</v>
      </c>
      <c r="K838" s="2">
        <v>11500</v>
      </c>
      <c r="L838" s="1" t="s">
        <v>51</v>
      </c>
      <c r="M838" s="1" t="s">
        <v>52</v>
      </c>
      <c r="N838" s="1" t="s">
        <v>53</v>
      </c>
      <c r="O838" s="1" t="s">
        <v>203</v>
      </c>
      <c r="P838" s="1" t="s">
        <v>45</v>
      </c>
      <c r="Q838" s="1" t="s">
        <v>53</v>
      </c>
      <c r="R838" s="1" t="s">
        <v>204</v>
      </c>
      <c r="S838" s="1" t="s">
        <v>71</v>
      </c>
      <c r="T838" s="3" t="str">
        <f>Sheet4!H838</f>
        <v xml:space="preserve"> View Map </v>
      </c>
    </row>
    <row r="839" spans="1:20" ht="15" x14ac:dyDescent="0.25">
      <c r="A839" s="1" t="s">
        <v>3448</v>
      </c>
      <c r="B839" s="1" t="s">
        <v>3449</v>
      </c>
      <c r="C839" s="2">
        <v>2016</v>
      </c>
      <c r="D839" s="1" t="s">
        <v>24</v>
      </c>
      <c r="E839" s="2">
        <v>0</v>
      </c>
      <c r="F839" s="1" t="s">
        <v>2118</v>
      </c>
      <c r="G839" s="1"/>
      <c r="H839" s="2">
        <v>0</v>
      </c>
      <c r="I839" s="2">
        <v>0</v>
      </c>
      <c r="J839" s="1" t="s">
        <v>3450</v>
      </c>
      <c r="K839" s="1" t="s">
        <v>28</v>
      </c>
      <c r="L839" s="1" t="s">
        <v>68</v>
      </c>
      <c r="M839" s="1" t="s">
        <v>69</v>
      </c>
      <c r="N839" s="1" t="s">
        <v>72</v>
      </c>
      <c r="O839" s="1" t="s">
        <v>644</v>
      </c>
      <c r="P839" s="1" t="s">
        <v>72</v>
      </c>
      <c r="Q839" s="1" t="s">
        <v>811</v>
      </c>
      <c r="R839" s="1" t="s">
        <v>72</v>
      </c>
      <c r="S839" s="1" t="s">
        <v>71</v>
      </c>
      <c r="T839" s="3" t="str">
        <f>Sheet4!H839</f>
        <v xml:space="preserve"> View Map </v>
      </c>
    </row>
    <row r="840" spans="1:20" ht="15" x14ac:dyDescent="0.25">
      <c r="A840" s="1" t="s">
        <v>3451</v>
      </c>
      <c r="B840" s="1" t="s">
        <v>3452</v>
      </c>
      <c r="C840" s="2">
        <v>2009</v>
      </c>
      <c r="D840" s="1" t="s">
        <v>24</v>
      </c>
      <c r="E840" s="2">
        <v>1</v>
      </c>
      <c r="F840" s="1" t="s">
        <v>3453</v>
      </c>
      <c r="G840" s="1"/>
      <c r="H840" s="2">
        <v>0</v>
      </c>
      <c r="I840" s="2">
        <v>90000</v>
      </c>
      <c r="J840" s="1" t="s">
        <v>2806</v>
      </c>
      <c r="K840" s="2">
        <v>90000</v>
      </c>
      <c r="L840" s="1" t="s">
        <v>68</v>
      </c>
      <c r="M840" s="1" t="s">
        <v>69</v>
      </c>
      <c r="N840" s="1" t="s">
        <v>72</v>
      </c>
      <c r="O840" s="1" t="s">
        <v>598</v>
      </c>
      <c r="P840" s="1" t="s">
        <v>72</v>
      </c>
      <c r="Q840" s="1" t="s">
        <v>2047</v>
      </c>
      <c r="R840" s="1" t="s">
        <v>73</v>
      </c>
      <c r="S840" s="1" t="s">
        <v>71</v>
      </c>
      <c r="T840" s="3" t="str">
        <f>Sheet4!H840</f>
        <v xml:space="preserve"> View Map </v>
      </c>
    </row>
    <row r="841" spans="1:20" ht="15" x14ac:dyDescent="0.25">
      <c r="A841" s="1" t="s">
        <v>3454</v>
      </c>
      <c r="B841" s="1" t="s">
        <v>3455</v>
      </c>
      <c r="C841" s="2">
        <v>2009</v>
      </c>
      <c r="D841" s="1" t="s">
        <v>24</v>
      </c>
      <c r="E841" s="2">
        <v>0</v>
      </c>
      <c r="F841" s="1" t="s">
        <v>3456</v>
      </c>
      <c r="G841" s="1"/>
      <c r="H841" s="2">
        <v>0</v>
      </c>
      <c r="I841" s="2">
        <v>90000</v>
      </c>
      <c r="J841" s="1" t="s">
        <v>3457</v>
      </c>
      <c r="K841" s="2">
        <v>90000</v>
      </c>
      <c r="L841" s="1" t="s">
        <v>68</v>
      </c>
      <c r="M841" s="1" t="s">
        <v>69</v>
      </c>
      <c r="N841" s="1" t="s">
        <v>275</v>
      </c>
      <c r="O841" s="1" t="s">
        <v>1833</v>
      </c>
      <c r="P841" s="1" t="s">
        <v>275</v>
      </c>
      <c r="Q841" s="1" t="s">
        <v>275</v>
      </c>
      <c r="R841" s="1" t="s">
        <v>275</v>
      </c>
      <c r="S841" s="1" t="s">
        <v>71</v>
      </c>
      <c r="T841" s="3" t="str">
        <f>Sheet4!H841</f>
        <v xml:space="preserve"> View Map </v>
      </c>
    </row>
    <row r="842" spans="1:20" ht="15" x14ac:dyDescent="0.25">
      <c r="A842" s="1" t="s">
        <v>3458</v>
      </c>
      <c r="B842" s="1" t="s">
        <v>3459</v>
      </c>
      <c r="C842" s="1" t="s">
        <v>28</v>
      </c>
      <c r="D842" s="1" t="s">
        <v>24</v>
      </c>
      <c r="E842" s="2">
        <v>1</v>
      </c>
      <c r="F842" s="1" t="s">
        <v>2641</v>
      </c>
      <c r="G842" s="1"/>
      <c r="H842" s="2">
        <v>138</v>
      </c>
      <c r="I842" s="2">
        <v>31000</v>
      </c>
      <c r="J842" s="1" t="s">
        <v>2336</v>
      </c>
      <c r="K842" s="2">
        <v>31000</v>
      </c>
      <c r="L842" s="1" t="s">
        <v>68</v>
      </c>
      <c r="M842" s="1" t="s">
        <v>69</v>
      </c>
      <c r="N842" s="1" t="s">
        <v>162</v>
      </c>
      <c r="O842" s="1" t="s">
        <v>167</v>
      </c>
      <c r="P842" s="1" t="s">
        <v>162</v>
      </c>
      <c r="Q842" s="1" t="s">
        <v>311</v>
      </c>
      <c r="R842" s="1" t="s">
        <v>162</v>
      </c>
      <c r="S842" s="1" t="s">
        <v>71</v>
      </c>
      <c r="T842" s="3" t="str">
        <f>Sheet4!H842</f>
        <v xml:space="preserve"> View Map </v>
      </c>
    </row>
    <row r="843" spans="1:20" ht="15" x14ac:dyDescent="0.25">
      <c r="A843" s="1" t="s">
        <v>3460</v>
      </c>
      <c r="B843" s="1" t="s">
        <v>3461</v>
      </c>
      <c r="C843" s="2">
        <v>1992</v>
      </c>
      <c r="D843" s="1" t="s">
        <v>24</v>
      </c>
      <c r="E843" s="2">
        <v>0</v>
      </c>
      <c r="F843" s="1" t="s">
        <v>3462</v>
      </c>
      <c r="G843" s="1"/>
      <c r="H843" s="2">
        <v>585</v>
      </c>
      <c r="I843" s="2">
        <v>15000</v>
      </c>
      <c r="J843" s="1" t="s">
        <v>3463</v>
      </c>
      <c r="K843" s="1" t="s">
        <v>28</v>
      </c>
      <c r="L843" s="1" t="s">
        <v>68</v>
      </c>
      <c r="M843" s="1" t="s">
        <v>69</v>
      </c>
      <c r="N843" s="1" t="s">
        <v>162</v>
      </c>
      <c r="O843" s="1" t="s">
        <v>560</v>
      </c>
      <c r="P843" s="1" t="s">
        <v>162</v>
      </c>
      <c r="Q843" s="1" t="s">
        <v>516</v>
      </c>
      <c r="R843" s="1" t="s">
        <v>162</v>
      </c>
      <c r="S843" s="1" t="s">
        <v>71</v>
      </c>
      <c r="T843" s="3" t="str">
        <f>Sheet4!H843</f>
        <v xml:space="preserve"> View Map </v>
      </c>
    </row>
    <row r="844" spans="1:20" ht="15" x14ac:dyDescent="0.25">
      <c r="A844" s="1" t="s">
        <v>3464</v>
      </c>
      <c r="B844" s="1" t="s">
        <v>3465</v>
      </c>
      <c r="C844" s="2">
        <v>2009</v>
      </c>
      <c r="D844" s="1" t="s">
        <v>24</v>
      </c>
      <c r="E844" s="2">
        <v>1</v>
      </c>
      <c r="F844" s="1" t="s">
        <v>346</v>
      </c>
      <c r="G844" s="1"/>
      <c r="H844" s="2">
        <v>0</v>
      </c>
      <c r="I844" s="2">
        <v>36000</v>
      </c>
      <c r="J844" s="1" t="s">
        <v>3466</v>
      </c>
      <c r="K844" s="2">
        <v>36000</v>
      </c>
      <c r="L844" s="1" t="s">
        <v>68</v>
      </c>
      <c r="M844" s="1" t="s">
        <v>69</v>
      </c>
      <c r="N844" s="1" t="s">
        <v>275</v>
      </c>
      <c r="O844" s="1" t="s">
        <v>297</v>
      </c>
      <c r="P844" s="1" t="s">
        <v>275</v>
      </c>
      <c r="Q844" s="1" t="s">
        <v>276</v>
      </c>
      <c r="R844" s="1" t="s">
        <v>275</v>
      </c>
      <c r="S844" s="1" t="s">
        <v>299</v>
      </c>
      <c r="T844" s="3" t="str">
        <f>Sheet4!H844</f>
        <v xml:space="preserve"> View Map </v>
      </c>
    </row>
    <row r="845" spans="1:20" ht="15" x14ac:dyDescent="0.25">
      <c r="A845" s="1" t="s">
        <v>3467</v>
      </c>
      <c r="B845" s="1" t="s">
        <v>3468</v>
      </c>
      <c r="C845" s="2">
        <v>2009</v>
      </c>
      <c r="D845" s="1" t="s">
        <v>24</v>
      </c>
      <c r="E845" s="2">
        <v>1</v>
      </c>
      <c r="F845" s="1" t="s">
        <v>3469</v>
      </c>
      <c r="G845" s="1"/>
      <c r="H845" s="2">
        <v>0</v>
      </c>
      <c r="I845" s="2">
        <v>75000</v>
      </c>
      <c r="J845" s="1" t="s">
        <v>3470</v>
      </c>
      <c r="K845" s="2">
        <v>75000</v>
      </c>
      <c r="L845" s="1" t="s">
        <v>68</v>
      </c>
      <c r="M845" s="1" t="s">
        <v>69</v>
      </c>
      <c r="N845" s="1" t="s">
        <v>162</v>
      </c>
      <c r="O845" s="1" t="s">
        <v>693</v>
      </c>
      <c r="P845" s="1" t="s">
        <v>162</v>
      </c>
      <c r="Q845" s="1" t="s">
        <v>516</v>
      </c>
      <c r="R845" s="1" t="s">
        <v>561</v>
      </c>
      <c r="S845" s="1" t="s">
        <v>71</v>
      </c>
      <c r="T845" s="3" t="str">
        <f>Sheet4!H845</f>
        <v xml:space="preserve"> View Map </v>
      </c>
    </row>
    <row r="846" spans="1:20" ht="15" x14ac:dyDescent="0.25">
      <c r="A846" s="1" t="s">
        <v>3471</v>
      </c>
      <c r="B846" s="1" t="s">
        <v>407</v>
      </c>
      <c r="C846" s="2">
        <v>2014</v>
      </c>
      <c r="D846" s="1" t="s">
        <v>24</v>
      </c>
      <c r="E846" s="2">
        <v>0</v>
      </c>
      <c r="F846" s="1" t="s">
        <v>3472</v>
      </c>
      <c r="G846" s="1"/>
      <c r="H846" s="2">
        <v>25</v>
      </c>
      <c r="I846" s="2">
        <v>24000</v>
      </c>
      <c r="J846" s="1" t="s">
        <v>3473</v>
      </c>
      <c r="K846" s="1" t="s">
        <v>28</v>
      </c>
      <c r="L846" s="1" t="s">
        <v>68</v>
      </c>
      <c r="M846" s="1" t="s">
        <v>69</v>
      </c>
      <c r="N846" s="1" t="s">
        <v>275</v>
      </c>
      <c r="O846" s="1" t="s">
        <v>407</v>
      </c>
      <c r="P846" s="1" t="s">
        <v>275</v>
      </c>
      <c r="Q846" s="1" t="s">
        <v>402</v>
      </c>
      <c r="R846" s="1" t="s">
        <v>275</v>
      </c>
      <c r="S846" s="1" t="s">
        <v>71</v>
      </c>
      <c r="T846" s="3" t="str">
        <f>Sheet4!H846</f>
        <v xml:space="preserve"> View Map </v>
      </c>
    </row>
    <row r="847" spans="1:20" ht="15" x14ac:dyDescent="0.25">
      <c r="A847" s="1" t="s">
        <v>3474</v>
      </c>
      <c r="B847" s="1" t="s">
        <v>3475</v>
      </c>
      <c r="C847" s="2">
        <v>2012</v>
      </c>
      <c r="D847" s="1" t="s">
        <v>24</v>
      </c>
      <c r="E847" s="2">
        <v>1</v>
      </c>
      <c r="F847" s="1" t="s">
        <v>3476</v>
      </c>
      <c r="G847" s="1"/>
      <c r="H847" s="2">
        <v>0</v>
      </c>
      <c r="I847" s="2">
        <v>50000</v>
      </c>
      <c r="J847" s="1" t="s">
        <v>3477</v>
      </c>
      <c r="K847" s="2">
        <v>50000</v>
      </c>
      <c r="L847" s="1" t="s">
        <v>68</v>
      </c>
      <c r="M847" s="1" t="s">
        <v>69</v>
      </c>
      <c r="N847" s="1" t="s">
        <v>162</v>
      </c>
      <c r="O847" s="1" t="s">
        <v>511</v>
      </c>
      <c r="P847" s="1" t="s">
        <v>162</v>
      </c>
      <c r="Q847" s="1" t="s">
        <v>506</v>
      </c>
      <c r="R847" s="1" t="s">
        <v>162</v>
      </c>
      <c r="S847" s="1" t="s">
        <v>71</v>
      </c>
      <c r="T847" s="3" t="str">
        <f>Sheet4!H847</f>
        <v xml:space="preserve"> View Map </v>
      </c>
    </row>
    <row r="848" spans="1:20" ht="15" x14ac:dyDescent="0.25">
      <c r="A848" s="1" t="s">
        <v>3478</v>
      </c>
      <c r="B848" s="1" t="s">
        <v>3479</v>
      </c>
      <c r="C848" s="2">
        <v>2009</v>
      </c>
      <c r="D848" s="1" t="s">
        <v>24</v>
      </c>
      <c r="E848" s="2">
        <v>1</v>
      </c>
      <c r="F848" s="1" t="s">
        <v>3480</v>
      </c>
      <c r="G848" s="1"/>
      <c r="H848" s="2">
        <v>0</v>
      </c>
      <c r="I848" s="2">
        <v>27000</v>
      </c>
      <c r="J848" s="1" t="s">
        <v>3481</v>
      </c>
      <c r="K848" s="2">
        <v>27000</v>
      </c>
      <c r="L848" s="1" t="s">
        <v>68</v>
      </c>
      <c r="M848" s="1" t="s">
        <v>69</v>
      </c>
      <c r="N848" s="1" t="s">
        <v>72</v>
      </c>
      <c r="O848" s="1" t="s">
        <v>598</v>
      </c>
      <c r="P848" s="1" t="s">
        <v>72</v>
      </c>
      <c r="Q848" s="1" t="s">
        <v>2047</v>
      </c>
      <c r="R848" s="1" t="s">
        <v>72</v>
      </c>
      <c r="S848" s="1" t="s">
        <v>71</v>
      </c>
      <c r="T848" s="3" t="str">
        <f>Sheet4!H848</f>
        <v xml:space="preserve"> View Map </v>
      </c>
    </row>
    <row r="849" spans="1:20" ht="15" x14ac:dyDescent="0.25">
      <c r="A849" s="1" t="s">
        <v>3482</v>
      </c>
      <c r="B849" s="1" t="s">
        <v>3483</v>
      </c>
      <c r="C849" s="2">
        <v>2015</v>
      </c>
      <c r="D849" s="1" t="s">
        <v>24</v>
      </c>
      <c r="E849" s="2">
        <v>0</v>
      </c>
      <c r="F849" s="1" t="s">
        <v>2664</v>
      </c>
      <c r="G849" s="1" t="s">
        <v>3484</v>
      </c>
      <c r="H849" s="2">
        <v>109</v>
      </c>
      <c r="I849" s="2">
        <v>40000</v>
      </c>
      <c r="J849" s="1" t="s">
        <v>3485</v>
      </c>
      <c r="K849" s="2">
        <v>40000</v>
      </c>
      <c r="L849" s="1" t="s">
        <v>68</v>
      </c>
      <c r="M849" s="1" t="s">
        <v>69</v>
      </c>
      <c r="N849" s="1" t="s">
        <v>275</v>
      </c>
      <c r="O849" s="1" t="s">
        <v>2137</v>
      </c>
      <c r="P849" s="1" t="s">
        <v>275</v>
      </c>
      <c r="Q849" s="1" t="s">
        <v>2132</v>
      </c>
      <c r="R849" s="1" t="s">
        <v>275</v>
      </c>
      <c r="S849" s="1" t="s">
        <v>71</v>
      </c>
      <c r="T849" s="3" t="str">
        <f>Sheet4!H849</f>
        <v xml:space="preserve"> View Map </v>
      </c>
    </row>
    <row r="850" spans="1:20" ht="15" x14ac:dyDescent="0.25">
      <c r="A850" s="1" t="s">
        <v>3486</v>
      </c>
      <c r="B850" s="1" t="s">
        <v>3487</v>
      </c>
      <c r="C850" s="2">
        <v>1983</v>
      </c>
      <c r="D850" s="1" t="s">
        <v>24</v>
      </c>
      <c r="E850" s="2">
        <v>1</v>
      </c>
      <c r="F850" s="1" t="s">
        <v>3488</v>
      </c>
      <c r="G850" s="1"/>
      <c r="H850" s="2">
        <v>0</v>
      </c>
      <c r="I850" s="2">
        <v>40000</v>
      </c>
      <c r="J850" s="1" t="s">
        <v>1098</v>
      </c>
      <c r="K850" s="2">
        <v>40000</v>
      </c>
      <c r="L850" s="1" t="s">
        <v>68</v>
      </c>
      <c r="M850" s="1" t="s">
        <v>69</v>
      </c>
      <c r="N850" s="1" t="s">
        <v>72</v>
      </c>
      <c r="O850" s="1" t="s">
        <v>2419</v>
      </c>
      <c r="P850" s="1" t="s">
        <v>72</v>
      </c>
      <c r="Q850" s="1" t="s">
        <v>811</v>
      </c>
      <c r="R850" s="1" t="s">
        <v>72</v>
      </c>
      <c r="S850" s="1" t="s">
        <v>71</v>
      </c>
      <c r="T850" s="3" t="str">
        <f>Sheet4!H850</f>
        <v xml:space="preserve"> View Map </v>
      </c>
    </row>
    <row r="851" spans="1:20" ht="15" x14ac:dyDescent="0.25">
      <c r="A851" s="1" t="s">
        <v>3489</v>
      </c>
      <c r="B851" s="1" t="s">
        <v>3490</v>
      </c>
      <c r="C851" s="2">
        <v>2009</v>
      </c>
      <c r="D851" s="1" t="s">
        <v>24</v>
      </c>
      <c r="E851" s="2">
        <v>0</v>
      </c>
      <c r="F851" s="1" t="s">
        <v>3491</v>
      </c>
      <c r="G851" s="1"/>
      <c r="H851" s="2">
        <v>0</v>
      </c>
      <c r="I851" s="2">
        <v>0</v>
      </c>
      <c r="J851" s="1"/>
      <c r="K851" s="1" t="s">
        <v>28</v>
      </c>
      <c r="L851" s="1" t="s">
        <v>68</v>
      </c>
      <c r="M851" s="1" t="s">
        <v>69</v>
      </c>
      <c r="N851" s="1" t="s">
        <v>275</v>
      </c>
      <c r="O851" s="1" t="s">
        <v>282</v>
      </c>
      <c r="P851" s="1" t="s">
        <v>275</v>
      </c>
      <c r="Q851" s="1" t="s">
        <v>276</v>
      </c>
      <c r="R851" s="1" t="s">
        <v>275</v>
      </c>
      <c r="S851" s="1" t="s">
        <v>71</v>
      </c>
      <c r="T851" s="3" t="str">
        <f>Sheet4!H851</f>
        <v xml:space="preserve"> View Map </v>
      </c>
    </row>
    <row r="852" spans="1:20" ht="15" x14ac:dyDescent="0.25">
      <c r="A852" s="1" t="s">
        <v>3492</v>
      </c>
      <c r="B852" s="1" t="s">
        <v>3493</v>
      </c>
      <c r="C852" s="2">
        <v>1963</v>
      </c>
      <c r="D852" s="1" t="s">
        <v>24</v>
      </c>
      <c r="E852" s="2">
        <v>1</v>
      </c>
      <c r="F852" s="1" t="s">
        <v>3494</v>
      </c>
      <c r="G852" s="1"/>
      <c r="H852" s="2">
        <v>0</v>
      </c>
      <c r="I852" s="2">
        <v>77000</v>
      </c>
      <c r="J852" s="1" t="s">
        <v>3495</v>
      </c>
      <c r="K852" s="2">
        <v>77000</v>
      </c>
      <c r="L852" s="1" t="s">
        <v>68</v>
      </c>
      <c r="M852" s="1" t="s">
        <v>69</v>
      </c>
      <c r="N852" s="1" t="s">
        <v>162</v>
      </c>
      <c r="O852" s="1" t="s">
        <v>511</v>
      </c>
      <c r="P852" s="1" t="s">
        <v>162</v>
      </c>
      <c r="Q852" s="1" t="s">
        <v>506</v>
      </c>
      <c r="R852" s="1" t="s">
        <v>162</v>
      </c>
      <c r="S852" s="1" t="s">
        <v>32</v>
      </c>
      <c r="T852" s="3" t="str">
        <f>Sheet4!H852</f>
        <v xml:space="preserve"> View Map </v>
      </c>
    </row>
    <row r="853" spans="1:20" ht="15" x14ac:dyDescent="0.25">
      <c r="A853" s="1" t="s">
        <v>3496</v>
      </c>
      <c r="B853" s="1" t="s">
        <v>3497</v>
      </c>
      <c r="C853" s="2">
        <v>2018</v>
      </c>
      <c r="D853" s="1" t="s">
        <v>24</v>
      </c>
      <c r="E853" s="2">
        <v>1</v>
      </c>
      <c r="F853" s="1" t="s">
        <v>3498</v>
      </c>
      <c r="G853" s="1"/>
      <c r="H853" s="2">
        <v>0</v>
      </c>
      <c r="I853" s="2">
        <v>40000</v>
      </c>
      <c r="J853" s="1" t="s">
        <v>3499</v>
      </c>
      <c r="K853" s="2">
        <v>40000</v>
      </c>
      <c r="L853" s="1" t="s">
        <v>51</v>
      </c>
      <c r="M853" s="1" t="s">
        <v>52</v>
      </c>
      <c r="N853" s="1" t="s">
        <v>53</v>
      </c>
      <c r="O853" s="1" t="s">
        <v>338</v>
      </c>
      <c r="P853" s="1" t="s">
        <v>45</v>
      </c>
      <c r="Q853" s="1" t="s">
        <v>332</v>
      </c>
      <c r="R853" s="1" t="s">
        <v>128</v>
      </c>
      <c r="S853" s="1" t="s">
        <v>71</v>
      </c>
      <c r="T853" s="3" t="str">
        <f>Sheet4!H853</f>
        <v xml:space="preserve"> View Map </v>
      </c>
    </row>
    <row r="854" spans="1:20" ht="15" x14ac:dyDescent="0.25">
      <c r="A854" s="1" t="s">
        <v>3500</v>
      </c>
      <c r="B854" s="1" t="s">
        <v>3501</v>
      </c>
      <c r="C854" s="2">
        <v>2024</v>
      </c>
      <c r="D854" s="1" t="s">
        <v>24</v>
      </c>
      <c r="E854" s="2">
        <v>1</v>
      </c>
      <c r="F854" s="1" t="s">
        <v>3502</v>
      </c>
      <c r="G854" s="1"/>
      <c r="H854" s="2">
        <v>0</v>
      </c>
      <c r="I854" s="2">
        <v>35000</v>
      </c>
      <c r="J854" s="1" t="s">
        <v>3503</v>
      </c>
      <c r="K854" s="1" t="s">
        <v>28</v>
      </c>
      <c r="L854" s="1" t="s">
        <v>68</v>
      </c>
      <c r="M854" s="1" t="s">
        <v>69</v>
      </c>
      <c r="N854" s="1" t="s">
        <v>53</v>
      </c>
      <c r="O854" s="1" t="s">
        <v>145</v>
      </c>
      <c r="P854" s="1" t="s">
        <v>45</v>
      </c>
      <c r="Q854" s="1" t="s">
        <v>46</v>
      </c>
      <c r="R854" s="1" t="s">
        <v>105</v>
      </c>
      <c r="S854" s="1" t="s">
        <v>71</v>
      </c>
      <c r="T854" s="3" t="str">
        <f>Sheet4!H854</f>
        <v xml:space="preserve"> View Map </v>
      </c>
    </row>
    <row r="855" spans="1:20" ht="15" x14ac:dyDescent="0.25">
      <c r="A855" s="1" t="s">
        <v>3504</v>
      </c>
      <c r="B855" s="1" t="s">
        <v>3505</v>
      </c>
      <c r="C855" s="1" t="s">
        <v>28</v>
      </c>
      <c r="D855" s="1" t="s">
        <v>28</v>
      </c>
      <c r="E855" s="2">
        <v>0</v>
      </c>
      <c r="F855" s="1" t="s">
        <v>28</v>
      </c>
      <c r="G855" s="1" t="s">
        <v>28</v>
      </c>
      <c r="H855" s="1" t="s">
        <v>28</v>
      </c>
      <c r="I855" s="1" t="s">
        <v>28</v>
      </c>
      <c r="J855" s="1"/>
      <c r="K855" s="1" t="s">
        <v>28</v>
      </c>
      <c r="L855" s="1" t="s">
        <v>68</v>
      </c>
      <c r="M855" s="1" t="s">
        <v>69</v>
      </c>
      <c r="N855" s="1" t="s">
        <v>53</v>
      </c>
      <c r="O855" s="1" t="s">
        <v>28</v>
      </c>
      <c r="P855" s="1" t="s">
        <v>45</v>
      </c>
      <c r="Q855" s="1" t="s">
        <v>28</v>
      </c>
      <c r="R855" s="1" t="s">
        <v>128</v>
      </c>
      <c r="S855" s="1" t="s">
        <v>71</v>
      </c>
      <c r="T855" s="3" t="str">
        <f>Sheet4!H855</f>
        <v xml:space="preserve"> View Map </v>
      </c>
    </row>
    <row r="856" spans="1:20" ht="15" x14ac:dyDescent="0.25">
      <c r="A856" s="1" t="s">
        <v>3506</v>
      </c>
      <c r="B856" s="1" t="s">
        <v>3507</v>
      </c>
      <c r="C856" s="2">
        <v>2018</v>
      </c>
      <c r="D856" s="1" t="s">
        <v>24</v>
      </c>
      <c r="E856" s="2">
        <v>1</v>
      </c>
      <c r="F856" s="1" t="s">
        <v>3508</v>
      </c>
      <c r="G856" s="1"/>
      <c r="H856" s="2">
        <v>470</v>
      </c>
      <c r="I856" s="2">
        <v>75000</v>
      </c>
      <c r="J856" s="1" t="s">
        <v>3509</v>
      </c>
      <c r="K856" s="2">
        <v>75000</v>
      </c>
      <c r="L856" s="1" t="s">
        <v>68</v>
      </c>
      <c r="M856" s="1" t="s">
        <v>69</v>
      </c>
      <c r="N856" s="1" t="s">
        <v>53</v>
      </c>
      <c r="O856" s="1" t="s">
        <v>338</v>
      </c>
      <c r="P856" s="1" t="s">
        <v>45</v>
      </c>
      <c r="Q856" s="1" t="s">
        <v>332</v>
      </c>
      <c r="R856" s="1" t="s">
        <v>105</v>
      </c>
      <c r="S856" s="1" t="s">
        <v>71</v>
      </c>
      <c r="T856" s="3" t="str">
        <f>Sheet4!H856</f>
        <v xml:space="preserve"> View Map </v>
      </c>
    </row>
    <row r="857" spans="1:20" ht="15" x14ac:dyDescent="0.25">
      <c r="A857" s="1" t="s">
        <v>3510</v>
      </c>
      <c r="B857" s="1" t="s">
        <v>3511</v>
      </c>
      <c r="C857" s="2">
        <v>2020</v>
      </c>
      <c r="D857" s="1" t="s">
        <v>24</v>
      </c>
      <c r="E857" s="2">
        <v>1</v>
      </c>
      <c r="F857" s="1" t="s">
        <v>208</v>
      </c>
      <c r="G857" s="1" t="s">
        <v>208</v>
      </c>
      <c r="H857" s="2">
        <v>2078</v>
      </c>
      <c r="I857" s="2">
        <v>40000</v>
      </c>
      <c r="J857" s="1" t="s">
        <v>3512</v>
      </c>
      <c r="K857" s="2">
        <v>40000</v>
      </c>
      <c r="L857" s="1" t="s">
        <v>51</v>
      </c>
      <c r="M857" s="1" t="s">
        <v>52</v>
      </c>
      <c r="N857" s="1" t="s">
        <v>53</v>
      </c>
      <c r="O857" s="1" t="s">
        <v>62</v>
      </c>
      <c r="P857" s="1" t="s">
        <v>45</v>
      </c>
      <c r="Q857" s="1" t="s">
        <v>46</v>
      </c>
      <c r="R857" s="1" t="s">
        <v>55</v>
      </c>
      <c r="S857" s="1" t="s">
        <v>71</v>
      </c>
      <c r="T857" s="3" t="str">
        <f>Sheet4!H857</f>
        <v xml:space="preserve"> View Map </v>
      </c>
    </row>
    <row r="858" spans="1:20" ht="15" x14ac:dyDescent="0.25">
      <c r="A858" s="1" t="s">
        <v>3513</v>
      </c>
      <c r="B858" s="1" t="s">
        <v>3514</v>
      </c>
      <c r="C858" s="2">
        <v>2021</v>
      </c>
      <c r="D858" s="1" t="s">
        <v>24</v>
      </c>
      <c r="E858" s="2">
        <v>1</v>
      </c>
      <c r="F858" s="1" t="s">
        <v>3515</v>
      </c>
      <c r="G858" s="1"/>
      <c r="H858" s="2">
        <v>0</v>
      </c>
      <c r="I858" s="2">
        <v>22000</v>
      </c>
      <c r="J858" s="1" t="s">
        <v>3516</v>
      </c>
      <c r="K858" s="2">
        <v>22000</v>
      </c>
      <c r="L858" s="1" t="s">
        <v>68</v>
      </c>
      <c r="M858" s="1" t="s">
        <v>69</v>
      </c>
      <c r="N858" s="1" t="s">
        <v>275</v>
      </c>
      <c r="O858" s="1" t="s">
        <v>407</v>
      </c>
      <c r="P858" s="1" t="s">
        <v>275</v>
      </c>
      <c r="Q858" s="1" t="s">
        <v>402</v>
      </c>
      <c r="R858" s="1" t="s">
        <v>275</v>
      </c>
      <c r="S858" s="1" t="s">
        <v>71</v>
      </c>
      <c r="T858" s="3" t="str">
        <f>Sheet4!H858</f>
        <v xml:space="preserve"> View Map </v>
      </c>
    </row>
    <row r="859" spans="1:20" ht="15" x14ac:dyDescent="0.25">
      <c r="A859" s="1" t="s">
        <v>3517</v>
      </c>
      <c r="B859" s="1" t="s">
        <v>3518</v>
      </c>
      <c r="C859" s="2">
        <v>2024</v>
      </c>
      <c r="D859" s="1" t="s">
        <v>24</v>
      </c>
      <c r="E859" s="2">
        <v>1</v>
      </c>
      <c r="F859" s="1" t="s">
        <v>3519</v>
      </c>
      <c r="G859" s="1"/>
      <c r="H859" s="2">
        <v>0</v>
      </c>
      <c r="I859" s="2">
        <v>46000</v>
      </c>
      <c r="J859" s="1" t="s">
        <v>3520</v>
      </c>
      <c r="K859" s="2">
        <v>46000</v>
      </c>
      <c r="L859" s="1" t="s">
        <v>68</v>
      </c>
      <c r="M859" s="1" t="s">
        <v>69</v>
      </c>
      <c r="N859" s="1" t="s">
        <v>72</v>
      </c>
      <c r="O859" s="1" t="s">
        <v>78</v>
      </c>
      <c r="P859" s="1" t="s">
        <v>72</v>
      </c>
      <c r="Q859" s="1" t="s">
        <v>2047</v>
      </c>
      <c r="R859" s="1" t="s">
        <v>645</v>
      </c>
      <c r="S859" s="1" t="s">
        <v>71</v>
      </c>
      <c r="T859" s="3" t="str">
        <f>Sheet4!H859</f>
        <v xml:space="preserve"> View Map </v>
      </c>
    </row>
    <row r="860" spans="1:20" ht="15" x14ac:dyDescent="0.25">
      <c r="A860" s="1" t="s">
        <v>3521</v>
      </c>
      <c r="B860" s="1" t="s">
        <v>3522</v>
      </c>
      <c r="C860" s="2">
        <v>0</v>
      </c>
      <c r="D860" s="1" t="s">
        <v>24</v>
      </c>
      <c r="E860" s="2">
        <v>1</v>
      </c>
      <c r="F860" s="1" t="s">
        <v>3523</v>
      </c>
      <c r="G860" s="1"/>
      <c r="H860" s="2">
        <v>0</v>
      </c>
      <c r="I860" s="2">
        <v>25000</v>
      </c>
      <c r="J860" s="1" t="s">
        <v>3524</v>
      </c>
      <c r="K860" s="2">
        <v>25000</v>
      </c>
      <c r="L860" s="1" t="s">
        <v>68</v>
      </c>
      <c r="M860" s="1" t="s">
        <v>69</v>
      </c>
      <c r="N860" s="1" t="s">
        <v>275</v>
      </c>
      <c r="O860" s="1" t="s">
        <v>354</v>
      </c>
      <c r="P860" s="1" t="s">
        <v>275</v>
      </c>
      <c r="Q860" s="1" t="s">
        <v>348</v>
      </c>
      <c r="R860" s="1" t="s">
        <v>275</v>
      </c>
      <c r="S860" s="1" t="s">
        <v>71</v>
      </c>
      <c r="T860" s="3" t="str">
        <f>Sheet4!H860</f>
        <v xml:space="preserve"> View Map </v>
      </c>
    </row>
    <row r="861" spans="1:20" ht="15" x14ac:dyDescent="0.25">
      <c r="A861" s="1" t="s">
        <v>3525</v>
      </c>
      <c r="B861" s="1" t="s">
        <v>3526</v>
      </c>
      <c r="C861" s="2">
        <v>2012</v>
      </c>
      <c r="D861" s="1" t="s">
        <v>81</v>
      </c>
      <c r="E861" s="2">
        <v>0</v>
      </c>
      <c r="F861" s="1"/>
      <c r="G861" s="1"/>
      <c r="H861" s="2">
        <v>0</v>
      </c>
      <c r="I861" s="2">
        <v>0</v>
      </c>
      <c r="J861" s="1"/>
      <c r="K861" s="1" t="s">
        <v>28</v>
      </c>
      <c r="L861" s="1" t="s">
        <v>51</v>
      </c>
      <c r="M861" s="1" t="s">
        <v>28</v>
      </c>
      <c r="N861" s="1" t="s">
        <v>53</v>
      </c>
      <c r="O861" s="1" t="s">
        <v>28</v>
      </c>
      <c r="P861" s="1" t="s">
        <v>45</v>
      </c>
      <c r="Q861" s="1" t="s">
        <v>28</v>
      </c>
      <c r="R861" s="1" t="s">
        <v>55</v>
      </c>
      <c r="S861" s="1" t="s">
        <v>71</v>
      </c>
      <c r="T861" s="3" t="str">
        <f>Sheet4!H861</f>
        <v xml:space="preserve"> View Map </v>
      </c>
    </row>
    <row r="862" spans="1:20" ht="15" x14ac:dyDescent="0.25">
      <c r="A862" s="1" t="s">
        <v>3527</v>
      </c>
      <c r="B862" s="1" t="s">
        <v>3528</v>
      </c>
      <c r="C862" s="2">
        <v>2014</v>
      </c>
      <c r="D862" s="1" t="s">
        <v>24</v>
      </c>
      <c r="E862" s="2">
        <v>1</v>
      </c>
      <c r="F862" s="1" t="s">
        <v>3529</v>
      </c>
      <c r="G862" s="1" t="s">
        <v>3530</v>
      </c>
      <c r="H862" s="2">
        <v>250</v>
      </c>
      <c r="I862" s="2">
        <v>30000</v>
      </c>
      <c r="J862" s="1" t="s">
        <v>3531</v>
      </c>
      <c r="K862" s="2">
        <v>30000</v>
      </c>
      <c r="L862" s="1" t="s">
        <v>68</v>
      </c>
      <c r="M862" s="1" t="s">
        <v>69</v>
      </c>
      <c r="N862" s="1" t="s">
        <v>275</v>
      </c>
      <c r="O862" s="1" t="s">
        <v>297</v>
      </c>
      <c r="P862" s="1" t="s">
        <v>275</v>
      </c>
      <c r="Q862" s="1" t="s">
        <v>348</v>
      </c>
      <c r="R862" s="1" t="s">
        <v>275</v>
      </c>
      <c r="S862" s="1" t="s">
        <v>71</v>
      </c>
      <c r="T862" s="3" t="str">
        <f>Sheet4!H862</f>
        <v xml:space="preserve"> View Map </v>
      </c>
    </row>
    <row r="863" spans="1:20" ht="15" x14ac:dyDescent="0.25">
      <c r="A863" s="1" t="s">
        <v>3532</v>
      </c>
      <c r="B863" s="1" t="s">
        <v>3533</v>
      </c>
      <c r="C863" s="2">
        <v>2012</v>
      </c>
      <c r="D863" s="1" t="s">
        <v>24</v>
      </c>
      <c r="E863" s="2">
        <v>1</v>
      </c>
      <c r="F863" s="1" t="s">
        <v>3534</v>
      </c>
      <c r="G863" s="1"/>
      <c r="H863" s="2">
        <v>180</v>
      </c>
      <c r="I863" s="2">
        <v>43000</v>
      </c>
      <c r="J863" s="1" t="s">
        <v>3535</v>
      </c>
      <c r="K863" s="2">
        <v>43000</v>
      </c>
      <c r="L863" s="1" t="s">
        <v>68</v>
      </c>
      <c r="M863" s="1" t="s">
        <v>69</v>
      </c>
      <c r="N863" s="1" t="s">
        <v>309</v>
      </c>
      <c r="O863" s="1" t="s">
        <v>2656</v>
      </c>
      <c r="P863" s="1" t="s">
        <v>304</v>
      </c>
      <c r="Q863" s="1" t="s">
        <v>305</v>
      </c>
      <c r="R863" s="1" t="s">
        <v>309</v>
      </c>
      <c r="S863" s="1" t="s">
        <v>71</v>
      </c>
      <c r="T863" s="3" t="str">
        <f>Sheet4!H863</f>
        <v xml:space="preserve"> View Map </v>
      </c>
    </row>
    <row r="864" spans="1:20" ht="15" x14ac:dyDescent="0.25">
      <c r="A864" s="1" t="s">
        <v>3536</v>
      </c>
      <c r="B864" s="1" t="s">
        <v>3537</v>
      </c>
      <c r="C864" s="2">
        <v>2009</v>
      </c>
      <c r="D864" s="1" t="s">
        <v>24</v>
      </c>
      <c r="E864" s="2">
        <v>0</v>
      </c>
      <c r="F864" s="1" t="s">
        <v>3538</v>
      </c>
      <c r="G864" s="1"/>
      <c r="H864" s="2">
        <v>0</v>
      </c>
      <c r="I864" s="2">
        <v>25000</v>
      </c>
      <c r="J864" s="1" t="s">
        <v>3539</v>
      </c>
      <c r="K864" s="1" t="s">
        <v>28</v>
      </c>
      <c r="L864" s="1" t="s">
        <v>51</v>
      </c>
      <c r="M864" s="1" t="s">
        <v>52</v>
      </c>
      <c r="N864" s="1" t="s">
        <v>53</v>
      </c>
      <c r="O864" s="1" t="s">
        <v>84</v>
      </c>
      <c r="P864" s="1" t="s">
        <v>45</v>
      </c>
      <c r="Q864" s="1" t="s">
        <v>45</v>
      </c>
      <c r="R864" s="1" t="s">
        <v>55</v>
      </c>
      <c r="S864" s="1" t="s">
        <v>71</v>
      </c>
      <c r="T864" s="3" t="str">
        <f>Sheet4!H864</f>
        <v xml:space="preserve"> View Map </v>
      </c>
    </row>
    <row r="865" spans="1:20" ht="15" x14ac:dyDescent="0.25">
      <c r="A865" s="1" t="s">
        <v>3540</v>
      </c>
      <c r="B865" s="1" t="s">
        <v>3541</v>
      </c>
      <c r="C865" s="2">
        <v>2016</v>
      </c>
      <c r="D865" s="1" t="s">
        <v>24</v>
      </c>
      <c r="E865" s="2">
        <v>1</v>
      </c>
      <c r="F865" s="1" t="s">
        <v>3542</v>
      </c>
      <c r="G865" s="1"/>
      <c r="H865" s="2">
        <v>0</v>
      </c>
      <c r="I865" s="2">
        <v>62000</v>
      </c>
      <c r="J865" s="1" t="s">
        <v>3543</v>
      </c>
      <c r="K865" s="2">
        <v>62000</v>
      </c>
      <c r="L865" s="1" t="s">
        <v>68</v>
      </c>
      <c r="M865" s="1" t="s">
        <v>69</v>
      </c>
      <c r="N865" s="1" t="s">
        <v>72</v>
      </c>
      <c r="O865" s="1" t="s">
        <v>115</v>
      </c>
      <c r="P865" s="1" t="s">
        <v>72</v>
      </c>
      <c r="Q865" s="1" t="s">
        <v>639</v>
      </c>
      <c r="R865" s="1" t="s">
        <v>73</v>
      </c>
      <c r="S865" s="1" t="s">
        <v>71</v>
      </c>
      <c r="T865" s="3" t="str">
        <f>Sheet4!H865</f>
        <v xml:space="preserve"> View Map </v>
      </c>
    </row>
    <row r="866" spans="1:20" ht="15" x14ac:dyDescent="0.25">
      <c r="A866" s="1" t="s">
        <v>3544</v>
      </c>
      <c r="B866" s="1" t="s">
        <v>3545</v>
      </c>
      <c r="C866" s="2">
        <v>2020</v>
      </c>
      <c r="D866" s="1" t="s">
        <v>24</v>
      </c>
      <c r="E866" s="2">
        <v>1</v>
      </c>
      <c r="F866" s="1" t="s">
        <v>2686</v>
      </c>
      <c r="G866" s="1"/>
      <c r="H866" s="2">
        <v>0</v>
      </c>
      <c r="I866" s="2">
        <v>53000</v>
      </c>
      <c r="J866" s="1" t="s">
        <v>3546</v>
      </c>
      <c r="K866" s="2">
        <v>53000</v>
      </c>
      <c r="L866" s="1" t="s">
        <v>68</v>
      </c>
      <c r="M866" s="1" t="s">
        <v>69</v>
      </c>
      <c r="N866" s="1" t="s">
        <v>275</v>
      </c>
      <c r="O866" s="1" t="s">
        <v>2137</v>
      </c>
      <c r="P866" s="1" t="s">
        <v>275</v>
      </c>
      <c r="Q866" s="1" t="s">
        <v>2132</v>
      </c>
      <c r="R866" s="1" t="s">
        <v>275</v>
      </c>
      <c r="S866" s="1" t="s">
        <v>71</v>
      </c>
      <c r="T866" s="3" t="str">
        <f>Sheet4!H866</f>
        <v xml:space="preserve"> View Map </v>
      </c>
    </row>
    <row r="867" spans="1:20" ht="15" x14ac:dyDescent="0.25">
      <c r="A867" s="1" t="s">
        <v>3547</v>
      </c>
      <c r="B867" s="1" t="s">
        <v>3548</v>
      </c>
      <c r="C867" s="2">
        <v>2009</v>
      </c>
      <c r="D867" s="1" t="s">
        <v>24</v>
      </c>
      <c r="E867" s="2">
        <v>1</v>
      </c>
      <c r="F867" s="1" t="s">
        <v>3549</v>
      </c>
      <c r="G867" s="1"/>
      <c r="H867" s="2">
        <v>0</v>
      </c>
      <c r="I867" s="2">
        <v>89000</v>
      </c>
      <c r="J867" s="1" t="s">
        <v>3548</v>
      </c>
      <c r="K867" s="2">
        <v>89000</v>
      </c>
      <c r="L867" s="1" t="s">
        <v>68</v>
      </c>
      <c r="M867" s="1" t="s">
        <v>69</v>
      </c>
      <c r="N867" s="1" t="s">
        <v>72</v>
      </c>
      <c r="O867" s="1" t="s">
        <v>115</v>
      </c>
      <c r="P867" s="1" t="s">
        <v>72</v>
      </c>
      <c r="Q867" s="1" t="s">
        <v>639</v>
      </c>
      <c r="R867" s="1" t="s">
        <v>72</v>
      </c>
      <c r="S867" s="1" t="s">
        <v>71</v>
      </c>
      <c r="T867" s="3" t="str">
        <f>Sheet4!H867</f>
        <v xml:space="preserve"> View Map </v>
      </c>
    </row>
    <row r="868" spans="1:20" ht="15" x14ac:dyDescent="0.25">
      <c r="A868" s="1" t="s">
        <v>3550</v>
      </c>
      <c r="B868" s="1" t="s">
        <v>3551</v>
      </c>
      <c r="C868" s="2">
        <v>2007</v>
      </c>
      <c r="D868" s="1" t="s">
        <v>24</v>
      </c>
      <c r="E868" s="2">
        <v>1</v>
      </c>
      <c r="F868" s="1" t="s">
        <v>314</v>
      </c>
      <c r="G868" s="1"/>
      <c r="H868" s="2">
        <v>0</v>
      </c>
      <c r="I868" s="2">
        <v>0</v>
      </c>
      <c r="J868" s="1" t="s">
        <v>3552</v>
      </c>
      <c r="K868" s="1" t="s">
        <v>28</v>
      </c>
      <c r="L868" s="1" t="s">
        <v>68</v>
      </c>
      <c r="M868" s="1" t="s">
        <v>69</v>
      </c>
      <c r="N868" s="1" t="s">
        <v>162</v>
      </c>
      <c r="O868" s="1" t="s">
        <v>28</v>
      </c>
      <c r="P868" s="1" t="s">
        <v>162</v>
      </c>
      <c r="Q868" s="1" t="s">
        <v>311</v>
      </c>
      <c r="R868" s="1" t="s">
        <v>162</v>
      </c>
      <c r="S868" s="1" t="s">
        <v>71</v>
      </c>
      <c r="T868" s="3" t="str">
        <f>Sheet4!H868</f>
        <v xml:space="preserve"> View Map </v>
      </c>
    </row>
    <row r="869" spans="1:20" ht="15" x14ac:dyDescent="0.25">
      <c r="A869" s="1" t="s">
        <v>3553</v>
      </c>
      <c r="B869" s="1" t="s">
        <v>3554</v>
      </c>
      <c r="C869" s="2">
        <v>2008</v>
      </c>
      <c r="D869" s="1" t="s">
        <v>24</v>
      </c>
      <c r="E869" s="2">
        <v>0</v>
      </c>
      <c r="F869" s="1" t="s">
        <v>547</v>
      </c>
      <c r="G869" s="1"/>
      <c r="H869" s="2">
        <v>0</v>
      </c>
      <c r="I869" s="2">
        <v>15000</v>
      </c>
      <c r="J869" s="1" t="s">
        <v>3555</v>
      </c>
      <c r="K869" s="1" t="s">
        <v>28</v>
      </c>
      <c r="L869" s="1" t="s">
        <v>68</v>
      </c>
      <c r="M869" s="1" t="s">
        <v>69</v>
      </c>
      <c r="N869" s="1" t="s">
        <v>72</v>
      </c>
      <c r="O869" s="1" t="s">
        <v>550</v>
      </c>
      <c r="P869" s="1" t="s">
        <v>72</v>
      </c>
      <c r="Q869" s="1" t="s">
        <v>811</v>
      </c>
      <c r="R869" s="1" t="s">
        <v>72</v>
      </c>
      <c r="S869" s="1" t="s">
        <v>71</v>
      </c>
      <c r="T869" s="3" t="str">
        <f>Sheet4!H869</f>
        <v xml:space="preserve"> View Map </v>
      </c>
    </row>
    <row r="870" spans="1:20" ht="15" x14ac:dyDescent="0.25">
      <c r="A870" s="1" t="s">
        <v>3556</v>
      </c>
      <c r="B870" s="1" t="s">
        <v>3557</v>
      </c>
      <c r="C870" s="2">
        <v>2007</v>
      </c>
      <c r="D870" s="1" t="s">
        <v>24</v>
      </c>
      <c r="E870" s="2">
        <v>1</v>
      </c>
      <c r="F870" s="1" t="s">
        <v>3558</v>
      </c>
      <c r="G870" s="1" t="s">
        <v>3559</v>
      </c>
      <c r="H870" s="2">
        <v>186</v>
      </c>
      <c r="I870" s="2">
        <v>48000</v>
      </c>
      <c r="J870" s="1" t="s">
        <v>3560</v>
      </c>
      <c r="K870" s="2">
        <v>48000</v>
      </c>
      <c r="L870" s="1" t="s">
        <v>68</v>
      </c>
      <c r="M870" s="1" t="s">
        <v>69</v>
      </c>
      <c r="N870" s="1" t="s">
        <v>309</v>
      </c>
      <c r="O870" s="1" t="s">
        <v>918</v>
      </c>
      <c r="P870" s="1" t="s">
        <v>304</v>
      </c>
      <c r="Q870" s="1" t="s">
        <v>432</v>
      </c>
      <c r="R870" s="1" t="s">
        <v>309</v>
      </c>
      <c r="S870" s="1" t="s">
        <v>71</v>
      </c>
      <c r="T870" s="3" t="str">
        <f>Sheet4!H870</f>
        <v xml:space="preserve"> View Map </v>
      </c>
    </row>
    <row r="871" spans="1:20" ht="15" x14ac:dyDescent="0.25">
      <c r="A871" s="1" t="s">
        <v>3561</v>
      </c>
      <c r="B871" s="1" t="s">
        <v>3562</v>
      </c>
      <c r="C871" s="2">
        <v>2000</v>
      </c>
      <c r="D871" s="1" t="s">
        <v>24</v>
      </c>
      <c r="E871" s="2">
        <v>1</v>
      </c>
      <c r="F871" s="1" t="s">
        <v>3563</v>
      </c>
      <c r="G871" s="1" t="s">
        <v>3564</v>
      </c>
      <c r="H871" s="2">
        <v>500</v>
      </c>
      <c r="I871" s="2">
        <v>250000</v>
      </c>
      <c r="J871" s="1" t="s">
        <v>3565</v>
      </c>
      <c r="K871" s="2">
        <v>250000</v>
      </c>
      <c r="L871" s="1" t="s">
        <v>68</v>
      </c>
      <c r="M871" s="1" t="s">
        <v>69</v>
      </c>
      <c r="N871" s="1" t="s">
        <v>309</v>
      </c>
      <c r="O871" s="1" t="s">
        <v>2332</v>
      </c>
      <c r="P871" s="1" t="s">
        <v>304</v>
      </c>
      <c r="Q871" s="1" t="s">
        <v>305</v>
      </c>
      <c r="R871" s="1" t="s">
        <v>309</v>
      </c>
      <c r="S871" s="1" t="s">
        <v>71</v>
      </c>
      <c r="T871" s="3" t="str">
        <f>Sheet4!H871</f>
        <v xml:space="preserve"> View Map </v>
      </c>
    </row>
    <row r="872" spans="1:20" ht="15" x14ac:dyDescent="0.25">
      <c r="A872" s="1" t="s">
        <v>3566</v>
      </c>
      <c r="B872" s="1" t="s">
        <v>3567</v>
      </c>
      <c r="C872" s="2">
        <v>2023</v>
      </c>
      <c r="D872" s="1" t="s">
        <v>24</v>
      </c>
      <c r="E872" s="2">
        <v>1</v>
      </c>
      <c r="F872" s="1" t="s">
        <v>3568</v>
      </c>
      <c r="G872" s="1" t="s">
        <v>3569</v>
      </c>
      <c r="H872" s="2">
        <v>100</v>
      </c>
      <c r="I872" s="2">
        <v>32000</v>
      </c>
      <c r="J872" s="1" t="s">
        <v>3570</v>
      </c>
      <c r="K872" s="2">
        <v>32000</v>
      </c>
      <c r="L872" s="1" t="s">
        <v>68</v>
      </c>
      <c r="M872" s="1" t="s">
        <v>69</v>
      </c>
      <c r="N872" s="1" t="s">
        <v>309</v>
      </c>
      <c r="O872" s="1" t="s">
        <v>3571</v>
      </c>
      <c r="P872" s="1" t="s">
        <v>304</v>
      </c>
      <c r="Q872" s="1" t="s">
        <v>305</v>
      </c>
      <c r="R872" s="1" t="s">
        <v>309</v>
      </c>
      <c r="S872" s="1" t="s">
        <v>71</v>
      </c>
      <c r="T872" s="3" t="str">
        <f>Sheet4!H872</f>
        <v xml:space="preserve"> View Map </v>
      </c>
    </row>
    <row r="873" spans="1:20" ht="15" x14ac:dyDescent="0.25">
      <c r="A873" s="1" t="s">
        <v>3572</v>
      </c>
      <c r="B873" s="1" t="s">
        <v>3573</v>
      </c>
      <c r="C873" s="2">
        <v>2021</v>
      </c>
      <c r="D873" s="1" t="s">
        <v>24</v>
      </c>
      <c r="E873" s="2">
        <v>0</v>
      </c>
      <c r="F873" s="1" t="s">
        <v>3574</v>
      </c>
      <c r="G873" s="1"/>
      <c r="H873" s="2">
        <v>0</v>
      </c>
      <c r="I873" s="2">
        <v>0</v>
      </c>
      <c r="J873" s="1" t="s">
        <v>3575</v>
      </c>
      <c r="K873" s="2">
        <v>0</v>
      </c>
      <c r="L873" s="1" t="s">
        <v>29</v>
      </c>
      <c r="M873" s="1" t="s">
        <v>30</v>
      </c>
      <c r="N873" s="1" t="s">
        <v>20</v>
      </c>
      <c r="O873" s="1" t="s">
        <v>31</v>
      </c>
      <c r="P873" s="1" t="s">
        <v>20</v>
      </c>
      <c r="Q873" s="1" t="s">
        <v>21</v>
      </c>
      <c r="R873" s="1" t="s">
        <v>293</v>
      </c>
      <c r="S873" s="1" t="s">
        <v>71</v>
      </c>
      <c r="T873" s="3" t="str">
        <f>Sheet4!H873</f>
        <v xml:space="preserve"> View Map </v>
      </c>
    </row>
    <row r="874" spans="1:20" ht="15" x14ac:dyDescent="0.25">
      <c r="A874" s="1" t="s">
        <v>3576</v>
      </c>
      <c r="B874" s="1" t="s">
        <v>3577</v>
      </c>
      <c r="C874" s="2">
        <v>2024</v>
      </c>
      <c r="D874" s="1" t="s">
        <v>24</v>
      </c>
      <c r="E874" s="2">
        <v>1</v>
      </c>
      <c r="F874" s="1" t="s">
        <v>3578</v>
      </c>
      <c r="G874" s="1" t="s">
        <v>3579</v>
      </c>
      <c r="H874" s="2">
        <v>0</v>
      </c>
      <c r="I874" s="2">
        <v>35000</v>
      </c>
      <c r="J874" s="1" t="s">
        <v>3580</v>
      </c>
      <c r="K874" s="2">
        <v>35000</v>
      </c>
      <c r="L874" s="1" t="s">
        <v>68</v>
      </c>
      <c r="M874" s="1" t="s">
        <v>69</v>
      </c>
      <c r="N874" s="1" t="s">
        <v>72</v>
      </c>
      <c r="O874" s="1" t="s">
        <v>644</v>
      </c>
      <c r="P874" s="1" t="s">
        <v>72</v>
      </c>
      <c r="Q874" s="1" t="s">
        <v>811</v>
      </c>
      <c r="R874" s="1" t="s">
        <v>72</v>
      </c>
      <c r="S874" s="1" t="s">
        <v>71</v>
      </c>
      <c r="T874" s="3" t="str">
        <f>Sheet4!H874</f>
        <v xml:space="preserve"> View Map </v>
      </c>
    </row>
    <row r="875" spans="1:20" ht="15" x14ac:dyDescent="0.25">
      <c r="A875" s="1" t="s">
        <v>3581</v>
      </c>
      <c r="B875" s="1" t="s">
        <v>3582</v>
      </c>
      <c r="C875" s="2">
        <v>2007</v>
      </c>
      <c r="D875" s="1" t="s">
        <v>24</v>
      </c>
      <c r="E875" s="2">
        <v>1</v>
      </c>
      <c r="F875" s="1" t="s">
        <v>3583</v>
      </c>
      <c r="G875" s="1" t="s">
        <v>3584</v>
      </c>
      <c r="H875" s="2">
        <v>0</v>
      </c>
      <c r="I875" s="2">
        <v>33000</v>
      </c>
      <c r="J875" s="1" t="s">
        <v>3585</v>
      </c>
      <c r="K875" s="2">
        <v>33000</v>
      </c>
      <c r="L875" s="1" t="s">
        <v>68</v>
      </c>
      <c r="M875" s="1" t="s">
        <v>69</v>
      </c>
      <c r="N875" s="1" t="s">
        <v>72</v>
      </c>
      <c r="O875" s="1" t="s">
        <v>2038</v>
      </c>
      <c r="P875" s="1" t="s">
        <v>72</v>
      </c>
      <c r="Q875" s="1" t="s">
        <v>811</v>
      </c>
      <c r="R875" s="1" t="s">
        <v>72</v>
      </c>
      <c r="S875" s="1" t="s">
        <v>71</v>
      </c>
      <c r="T875" s="3" t="str">
        <f>Sheet4!H875</f>
        <v xml:space="preserve"> View Map </v>
      </c>
    </row>
    <row r="876" spans="1:20" ht="15" x14ac:dyDescent="0.25">
      <c r="A876" s="1" t="s">
        <v>3586</v>
      </c>
      <c r="B876" s="1" t="s">
        <v>2424</v>
      </c>
      <c r="C876" s="2">
        <v>2024</v>
      </c>
      <c r="D876" s="1" t="s">
        <v>24</v>
      </c>
      <c r="E876" s="2">
        <v>1</v>
      </c>
      <c r="F876" s="1" t="s">
        <v>3587</v>
      </c>
      <c r="G876" s="1" t="s">
        <v>3587</v>
      </c>
      <c r="H876" s="2">
        <v>10</v>
      </c>
      <c r="I876" s="2">
        <v>24000</v>
      </c>
      <c r="J876" s="1" t="s">
        <v>3588</v>
      </c>
      <c r="K876" s="2">
        <v>24000</v>
      </c>
      <c r="L876" s="1" t="s">
        <v>68</v>
      </c>
      <c r="M876" s="1" t="s">
        <v>69</v>
      </c>
      <c r="N876" s="1" t="s">
        <v>309</v>
      </c>
      <c r="O876" s="1" t="s">
        <v>918</v>
      </c>
      <c r="P876" s="1" t="s">
        <v>304</v>
      </c>
      <c r="Q876" s="1" t="s">
        <v>432</v>
      </c>
      <c r="R876" s="1" t="s">
        <v>309</v>
      </c>
      <c r="S876" s="1" t="s">
        <v>71</v>
      </c>
      <c r="T876" s="3" t="str">
        <f>Sheet4!H876</f>
        <v xml:space="preserve"> View Map </v>
      </c>
    </row>
    <row r="877" spans="1:20" ht="15" x14ac:dyDescent="0.25">
      <c r="A877" s="1" t="s">
        <v>3589</v>
      </c>
      <c r="B877" s="1" t="s">
        <v>3590</v>
      </c>
      <c r="C877" s="2">
        <v>2009</v>
      </c>
      <c r="D877" s="1" t="s">
        <v>24</v>
      </c>
      <c r="E877" s="2">
        <v>1</v>
      </c>
      <c r="F877" s="1" t="s">
        <v>3591</v>
      </c>
      <c r="G877" s="1" t="s">
        <v>3591</v>
      </c>
      <c r="H877" s="2">
        <v>185</v>
      </c>
      <c r="I877" s="2">
        <v>35000</v>
      </c>
      <c r="J877" s="1" t="s">
        <v>3592</v>
      </c>
      <c r="K877" s="2">
        <v>35000</v>
      </c>
      <c r="L877" s="1" t="s">
        <v>68</v>
      </c>
      <c r="M877" s="1" t="s">
        <v>69</v>
      </c>
      <c r="N877" s="1" t="s">
        <v>2952</v>
      </c>
      <c r="O877" s="1" t="s">
        <v>3593</v>
      </c>
      <c r="P877" s="1" t="s">
        <v>72</v>
      </c>
      <c r="Q877" s="1" t="s">
        <v>593</v>
      </c>
      <c r="R877" s="1" t="s">
        <v>72</v>
      </c>
      <c r="S877" s="1" t="s">
        <v>71</v>
      </c>
      <c r="T877" s="3" t="str">
        <f>Sheet4!H877</f>
        <v xml:space="preserve"> View Map </v>
      </c>
    </row>
    <row r="878" spans="1:20" ht="15" x14ac:dyDescent="0.25">
      <c r="A878" s="1" t="s">
        <v>3594</v>
      </c>
      <c r="B878" s="1" t="s">
        <v>3595</v>
      </c>
      <c r="C878" s="2">
        <v>2018</v>
      </c>
      <c r="D878" s="1" t="s">
        <v>24</v>
      </c>
      <c r="E878" s="2">
        <v>1</v>
      </c>
      <c r="F878" s="1" t="s">
        <v>3596</v>
      </c>
      <c r="G878" s="1" t="s">
        <v>3595</v>
      </c>
      <c r="H878" s="2">
        <v>75</v>
      </c>
      <c r="I878" s="2">
        <v>35000</v>
      </c>
      <c r="J878" s="1" t="s">
        <v>3597</v>
      </c>
      <c r="K878" s="2">
        <v>35000</v>
      </c>
      <c r="L878" s="1" t="s">
        <v>68</v>
      </c>
      <c r="M878" s="1" t="s">
        <v>69</v>
      </c>
      <c r="N878" s="1" t="s">
        <v>309</v>
      </c>
      <c r="O878" s="1" t="s">
        <v>2332</v>
      </c>
      <c r="P878" s="1" t="s">
        <v>304</v>
      </c>
      <c r="Q878" s="1" t="s">
        <v>305</v>
      </c>
      <c r="R878" s="1" t="s">
        <v>309</v>
      </c>
      <c r="S878" s="1" t="s">
        <v>71</v>
      </c>
      <c r="T878" s="3" t="str">
        <f>Sheet4!H878</f>
        <v xml:space="preserve"> View Map </v>
      </c>
    </row>
    <row r="879" spans="1:20" ht="15" x14ac:dyDescent="0.25">
      <c r="A879" s="1" t="s">
        <v>3598</v>
      </c>
      <c r="B879" s="1" t="s">
        <v>3599</v>
      </c>
      <c r="C879" s="2">
        <v>2022</v>
      </c>
      <c r="D879" s="1" t="s">
        <v>24</v>
      </c>
      <c r="E879" s="2">
        <v>0</v>
      </c>
      <c r="F879" s="1" t="s">
        <v>3600</v>
      </c>
      <c r="G879" s="1"/>
      <c r="H879" s="2">
        <v>792</v>
      </c>
      <c r="I879" s="2">
        <v>25000</v>
      </c>
      <c r="J879" s="1" t="s">
        <v>3601</v>
      </c>
      <c r="K879" s="2">
        <v>25000</v>
      </c>
      <c r="L879" s="1" t="s">
        <v>51</v>
      </c>
      <c r="M879" s="1" t="s">
        <v>52</v>
      </c>
      <c r="N879" s="1" t="s">
        <v>53</v>
      </c>
      <c r="O879" s="1" t="s">
        <v>62</v>
      </c>
      <c r="P879" s="1" t="s">
        <v>45</v>
      </c>
      <c r="Q879" s="1" t="s">
        <v>46</v>
      </c>
      <c r="R879" s="1" t="s">
        <v>55</v>
      </c>
      <c r="S879" s="1" t="s">
        <v>71</v>
      </c>
      <c r="T879" s="3" t="str">
        <f>Sheet4!H879</f>
        <v xml:space="preserve"> View Map </v>
      </c>
    </row>
    <row r="880" spans="1:20" ht="15" x14ac:dyDescent="0.25">
      <c r="A880" s="1" t="s">
        <v>3602</v>
      </c>
      <c r="B880" s="1" t="s">
        <v>3603</v>
      </c>
      <c r="C880" s="2">
        <v>2009</v>
      </c>
      <c r="D880" s="1" t="s">
        <v>24</v>
      </c>
      <c r="E880" s="2">
        <v>0</v>
      </c>
      <c r="F880" s="1" t="s">
        <v>3604</v>
      </c>
      <c r="G880" s="1"/>
      <c r="H880" s="2">
        <v>1500</v>
      </c>
      <c r="I880" s="2">
        <v>3000</v>
      </c>
      <c r="J880" s="1" t="s">
        <v>3605</v>
      </c>
      <c r="K880" s="2">
        <v>3000</v>
      </c>
      <c r="L880" s="1" t="s">
        <v>29</v>
      </c>
      <c r="M880" s="1" t="s">
        <v>134</v>
      </c>
      <c r="N880" s="1" t="s">
        <v>160</v>
      </c>
      <c r="O880" s="1" t="s">
        <v>219</v>
      </c>
      <c r="P880" s="1" t="s">
        <v>153</v>
      </c>
      <c r="Q880" s="1" t="s">
        <v>154</v>
      </c>
      <c r="R880" s="1" t="s">
        <v>192</v>
      </c>
      <c r="S880" s="1" t="s">
        <v>71</v>
      </c>
      <c r="T880" s="3" t="str">
        <f>Sheet4!H880</f>
        <v xml:space="preserve"> View Map </v>
      </c>
    </row>
    <row r="881" spans="1:20" ht="15" x14ac:dyDescent="0.25">
      <c r="A881" s="1" t="s">
        <v>3606</v>
      </c>
      <c r="B881" s="1" t="s">
        <v>3607</v>
      </c>
      <c r="C881" s="2">
        <v>2010</v>
      </c>
      <c r="D881" s="1" t="s">
        <v>24</v>
      </c>
      <c r="E881" s="2">
        <v>0</v>
      </c>
      <c r="F881" s="1" t="s">
        <v>3608</v>
      </c>
      <c r="G881" s="1" t="s">
        <v>374</v>
      </c>
      <c r="H881" s="2">
        <v>40</v>
      </c>
      <c r="I881" s="2">
        <v>9000</v>
      </c>
      <c r="J881" s="1" t="s">
        <v>3609</v>
      </c>
      <c r="K881" s="2">
        <v>9000</v>
      </c>
      <c r="L881" s="1" t="s">
        <v>68</v>
      </c>
      <c r="M881" s="1" t="s">
        <v>69</v>
      </c>
      <c r="N881" s="1" t="s">
        <v>162</v>
      </c>
      <c r="O881" s="1" t="s">
        <v>374</v>
      </c>
      <c r="P881" s="1" t="s">
        <v>162</v>
      </c>
      <c r="Q881" s="1" t="s">
        <v>162</v>
      </c>
      <c r="R881" s="1" t="s">
        <v>162</v>
      </c>
      <c r="S881" s="1" t="s">
        <v>71</v>
      </c>
      <c r="T881" s="3" t="str">
        <f>Sheet4!H881</f>
        <v xml:space="preserve"> View Map </v>
      </c>
    </row>
    <row r="882" spans="1:20" ht="15" x14ac:dyDescent="0.25">
      <c r="A882" s="1" t="s">
        <v>3610</v>
      </c>
      <c r="B882" s="1" t="s">
        <v>3611</v>
      </c>
      <c r="C882" s="2">
        <v>2025</v>
      </c>
      <c r="D882" s="1" t="s">
        <v>24</v>
      </c>
      <c r="E882" s="2">
        <v>1</v>
      </c>
      <c r="F882" s="1" t="s">
        <v>3612</v>
      </c>
      <c r="G882" s="1"/>
      <c r="H882" s="2">
        <v>45</v>
      </c>
      <c r="I882" s="2">
        <v>28000</v>
      </c>
      <c r="J882" s="1" t="s">
        <v>3613</v>
      </c>
      <c r="K882" s="2">
        <v>28000</v>
      </c>
      <c r="L882" s="1" t="s">
        <v>68</v>
      </c>
      <c r="M882" s="1" t="s">
        <v>69</v>
      </c>
      <c r="N882" s="1" t="s">
        <v>72</v>
      </c>
      <c r="O882" s="1" t="s">
        <v>644</v>
      </c>
      <c r="P882" s="1" t="s">
        <v>72</v>
      </c>
      <c r="Q882" s="1" t="s">
        <v>811</v>
      </c>
      <c r="R882" s="1" t="s">
        <v>72</v>
      </c>
      <c r="S882" s="1" t="s">
        <v>71</v>
      </c>
      <c r="T882" s="3" t="str">
        <f>Sheet4!H882</f>
        <v xml:space="preserve"> View Map </v>
      </c>
    </row>
    <row r="883" spans="1:20" ht="15" x14ac:dyDescent="0.25">
      <c r="A883" s="1" t="s">
        <v>3614</v>
      </c>
      <c r="B883" s="1" t="s">
        <v>3615</v>
      </c>
      <c r="C883" s="2">
        <v>2024</v>
      </c>
      <c r="D883" s="1" t="s">
        <v>24</v>
      </c>
      <c r="E883" s="2">
        <v>1</v>
      </c>
      <c r="F883" s="1" t="s">
        <v>3616</v>
      </c>
      <c r="G883" s="1"/>
      <c r="H883" s="2">
        <v>0</v>
      </c>
      <c r="I883" s="2">
        <v>1500</v>
      </c>
      <c r="J883" s="1" t="s">
        <v>3617</v>
      </c>
      <c r="K883" s="1" t="s">
        <v>28</v>
      </c>
      <c r="L883" s="1" t="s">
        <v>68</v>
      </c>
      <c r="M883" s="1" t="s">
        <v>69</v>
      </c>
      <c r="N883" s="1" t="s">
        <v>53</v>
      </c>
      <c r="O883" s="1" t="s">
        <v>3618</v>
      </c>
      <c r="P883" s="1" t="s">
        <v>45</v>
      </c>
      <c r="Q883" s="1" t="s">
        <v>45</v>
      </c>
      <c r="R883" s="1" t="s">
        <v>105</v>
      </c>
      <c r="S883" s="1" t="s">
        <v>71</v>
      </c>
      <c r="T883" s="3" t="str">
        <f>Sheet4!H883</f>
        <v xml:space="preserve"> View Map </v>
      </c>
    </row>
    <row r="884" spans="1:20" ht="15" x14ac:dyDescent="0.25">
      <c r="A884" s="1" t="s">
        <v>3619</v>
      </c>
      <c r="B884" s="1" t="s">
        <v>3620</v>
      </c>
      <c r="C884" s="2">
        <v>2024</v>
      </c>
      <c r="D884" s="1" t="s">
        <v>24</v>
      </c>
      <c r="E884" s="2">
        <v>1</v>
      </c>
      <c r="F884" s="1" t="s">
        <v>2140</v>
      </c>
      <c r="G884" s="1"/>
      <c r="H884" s="2">
        <v>0</v>
      </c>
      <c r="I884" s="2">
        <v>4500</v>
      </c>
      <c r="J884" s="1" t="s">
        <v>3621</v>
      </c>
      <c r="K884" s="2">
        <v>4500</v>
      </c>
      <c r="L884" s="1" t="s">
        <v>68</v>
      </c>
      <c r="M884" s="1" t="s">
        <v>69</v>
      </c>
      <c r="N884" s="1" t="s">
        <v>275</v>
      </c>
      <c r="O884" s="1" t="s">
        <v>2441</v>
      </c>
      <c r="P884" s="1" t="s">
        <v>275</v>
      </c>
      <c r="Q884" s="1" t="s">
        <v>2132</v>
      </c>
      <c r="R884" s="1" t="s">
        <v>275</v>
      </c>
      <c r="S884" s="1" t="s">
        <v>71</v>
      </c>
      <c r="T884" s="3" t="str">
        <f>Sheet4!H884</f>
        <v xml:space="preserve"> View Map </v>
      </c>
    </row>
    <row r="885" spans="1:20" ht="15" x14ac:dyDescent="0.25">
      <c r="A885" s="1" t="s">
        <v>3622</v>
      </c>
      <c r="B885" s="1" t="s">
        <v>3623</v>
      </c>
      <c r="C885" s="2">
        <v>2024</v>
      </c>
      <c r="D885" s="1" t="s">
        <v>24</v>
      </c>
      <c r="E885" s="2">
        <v>1</v>
      </c>
      <c r="F885" s="1" t="s">
        <v>3624</v>
      </c>
      <c r="G885" s="1"/>
      <c r="H885" s="2">
        <v>260</v>
      </c>
      <c r="I885" s="2">
        <v>60000</v>
      </c>
      <c r="J885" s="1" t="s">
        <v>3625</v>
      </c>
      <c r="K885" s="2">
        <v>60000</v>
      </c>
      <c r="L885" s="1" t="s">
        <v>68</v>
      </c>
      <c r="M885" s="1" t="s">
        <v>69</v>
      </c>
      <c r="N885" s="1" t="s">
        <v>162</v>
      </c>
      <c r="O885" s="1" t="s">
        <v>167</v>
      </c>
      <c r="P885" s="1" t="s">
        <v>162</v>
      </c>
      <c r="Q885" s="1" t="s">
        <v>311</v>
      </c>
      <c r="R885" s="1" t="s">
        <v>162</v>
      </c>
      <c r="S885" s="1" t="s">
        <v>71</v>
      </c>
      <c r="T885" s="3" t="str">
        <f>Sheet4!H885</f>
        <v xml:space="preserve"> View Map </v>
      </c>
    </row>
    <row r="886" spans="1:20" ht="15" x14ac:dyDescent="0.25">
      <c r="A886" s="1" t="s">
        <v>3626</v>
      </c>
      <c r="B886" s="1" t="s">
        <v>2060</v>
      </c>
      <c r="C886" s="2">
        <v>2021</v>
      </c>
      <c r="D886" s="1" t="s">
        <v>24</v>
      </c>
      <c r="E886" s="2">
        <v>1</v>
      </c>
      <c r="F886" s="1" t="s">
        <v>3627</v>
      </c>
      <c r="G886" s="1"/>
      <c r="H886" s="2">
        <v>250</v>
      </c>
      <c r="I886" s="2">
        <v>40000</v>
      </c>
      <c r="J886" s="1" t="s">
        <v>3628</v>
      </c>
      <c r="K886" s="2">
        <v>40000</v>
      </c>
      <c r="L886" s="1" t="s">
        <v>68</v>
      </c>
      <c r="M886" s="1" t="s">
        <v>69</v>
      </c>
      <c r="N886" s="1" t="s">
        <v>162</v>
      </c>
      <c r="O886" s="1" t="s">
        <v>3629</v>
      </c>
      <c r="P886" s="1" t="s">
        <v>304</v>
      </c>
      <c r="Q886" s="1" t="s">
        <v>432</v>
      </c>
      <c r="R886" s="1" t="s">
        <v>162</v>
      </c>
      <c r="S886" s="1" t="s">
        <v>71</v>
      </c>
      <c r="T886" s="3" t="str">
        <f>Sheet4!H886</f>
        <v xml:space="preserve"> View Map </v>
      </c>
    </row>
    <row r="887" spans="1:20" ht="15" x14ac:dyDescent="0.25">
      <c r="A887" s="1" t="s">
        <v>3630</v>
      </c>
      <c r="B887" s="1" t="s">
        <v>3631</v>
      </c>
      <c r="C887" s="2">
        <v>2011</v>
      </c>
      <c r="D887" s="1" t="s">
        <v>24</v>
      </c>
      <c r="E887" s="2">
        <v>0</v>
      </c>
      <c r="F887" s="1" t="s">
        <v>3632</v>
      </c>
      <c r="G887" s="1"/>
      <c r="H887" s="2">
        <v>49</v>
      </c>
      <c r="I887" s="2">
        <v>30000</v>
      </c>
      <c r="J887" s="1" t="s">
        <v>3633</v>
      </c>
      <c r="K887" s="1" t="s">
        <v>28</v>
      </c>
      <c r="L887" s="1" t="s">
        <v>68</v>
      </c>
      <c r="M887" s="1" t="s">
        <v>69</v>
      </c>
      <c r="N887" s="1" t="s">
        <v>322</v>
      </c>
      <c r="O887" s="1" t="s">
        <v>636</v>
      </c>
      <c r="P887" s="1" t="s">
        <v>162</v>
      </c>
      <c r="Q887" s="1" t="s">
        <v>316</v>
      </c>
      <c r="R887" s="1" t="s">
        <v>162</v>
      </c>
      <c r="S887" s="1" t="s">
        <v>71</v>
      </c>
      <c r="T887" s="3" t="str">
        <f>Sheet4!H887</f>
        <v xml:space="preserve"> View Map </v>
      </c>
    </row>
    <row r="888" spans="1:20" ht="15" x14ac:dyDescent="0.25">
      <c r="A888" s="1" t="s">
        <v>3634</v>
      </c>
      <c r="B888" s="1" t="s">
        <v>3635</v>
      </c>
      <c r="C888" s="2">
        <v>2005</v>
      </c>
      <c r="D888" s="1" t="s">
        <v>24</v>
      </c>
      <c r="E888" s="2">
        <v>1</v>
      </c>
      <c r="F888" s="1" t="s">
        <v>3636</v>
      </c>
      <c r="G888" s="1" t="s">
        <v>3637</v>
      </c>
      <c r="H888" s="2">
        <v>30</v>
      </c>
      <c r="I888" s="2">
        <v>35000</v>
      </c>
      <c r="J888" s="1" t="s">
        <v>3638</v>
      </c>
      <c r="K888" s="2">
        <v>21000</v>
      </c>
      <c r="L888" s="1" t="s">
        <v>68</v>
      </c>
      <c r="M888" s="1" t="s">
        <v>69</v>
      </c>
      <c r="N888" s="1" t="s">
        <v>72</v>
      </c>
      <c r="O888" s="1" t="s">
        <v>644</v>
      </c>
      <c r="P888" s="1" t="s">
        <v>72</v>
      </c>
      <c r="Q888" s="1" t="s">
        <v>811</v>
      </c>
      <c r="R888" s="1" t="s">
        <v>72</v>
      </c>
      <c r="S888" s="1" t="s">
        <v>71</v>
      </c>
      <c r="T888" s="3" t="str">
        <f>Sheet4!H888</f>
        <v xml:space="preserve"> View Map </v>
      </c>
    </row>
    <row r="889" spans="1:20" ht="15" x14ac:dyDescent="0.25">
      <c r="A889" s="1" t="s">
        <v>3639</v>
      </c>
      <c r="B889" s="1" t="s">
        <v>1888</v>
      </c>
      <c r="C889" s="2">
        <v>2012</v>
      </c>
      <c r="D889" s="1" t="s">
        <v>24</v>
      </c>
      <c r="E889" s="2">
        <v>0</v>
      </c>
      <c r="F889" s="1" t="s">
        <v>1888</v>
      </c>
      <c r="G889" s="1"/>
      <c r="H889" s="2">
        <v>21</v>
      </c>
      <c r="I889" s="2">
        <v>21000</v>
      </c>
      <c r="J889" s="1" t="s">
        <v>3640</v>
      </c>
      <c r="K889" s="2">
        <v>21000</v>
      </c>
      <c r="L889" s="1" t="s">
        <v>68</v>
      </c>
      <c r="M889" s="1" t="s">
        <v>69</v>
      </c>
      <c r="N889" s="1" t="s">
        <v>162</v>
      </c>
      <c r="O889" s="1" t="s">
        <v>770</v>
      </c>
      <c r="P889" s="1" t="s">
        <v>162</v>
      </c>
      <c r="Q889" s="1" t="s">
        <v>162</v>
      </c>
      <c r="R889" s="1" t="s">
        <v>162</v>
      </c>
      <c r="S889" s="1" t="s">
        <v>71</v>
      </c>
      <c r="T889" s="3" t="str">
        <f>Sheet4!H889</f>
        <v xml:space="preserve"> View Map </v>
      </c>
    </row>
    <row r="890" spans="1:20" ht="15" x14ac:dyDescent="0.25">
      <c r="A890" s="1" t="s">
        <v>3641</v>
      </c>
      <c r="B890" s="1" t="s">
        <v>3642</v>
      </c>
      <c r="C890" s="2">
        <v>2024</v>
      </c>
      <c r="D890" s="1" t="s">
        <v>24</v>
      </c>
      <c r="E890" s="2">
        <v>1</v>
      </c>
      <c r="F890" s="1" t="s">
        <v>539</v>
      </c>
      <c r="G890" s="1"/>
      <c r="H890" s="2">
        <v>585</v>
      </c>
      <c r="I890" s="2">
        <v>25000</v>
      </c>
      <c r="J890" s="1" t="s">
        <v>3643</v>
      </c>
      <c r="K890" s="2">
        <v>25000</v>
      </c>
      <c r="L890" s="1" t="s">
        <v>68</v>
      </c>
      <c r="M890" s="1" t="s">
        <v>69</v>
      </c>
      <c r="N890" s="1" t="s">
        <v>53</v>
      </c>
      <c r="O890" s="1" t="s">
        <v>127</v>
      </c>
      <c r="P890" s="1" t="s">
        <v>45</v>
      </c>
      <c r="Q890" s="1" t="s">
        <v>122</v>
      </c>
      <c r="R890" s="1" t="s">
        <v>105</v>
      </c>
      <c r="S890" s="1" t="s">
        <v>71</v>
      </c>
      <c r="T890" s="3" t="str">
        <f>Sheet4!H890</f>
        <v xml:space="preserve"> View Map </v>
      </c>
    </row>
    <row r="891" spans="1:20" ht="15" x14ac:dyDescent="0.25">
      <c r="A891" s="1" t="s">
        <v>3644</v>
      </c>
      <c r="B891" s="1" t="s">
        <v>3645</v>
      </c>
      <c r="C891" s="2">
        <v>2012</v>
      </c>
      <c r="D891" s="1" t="s">
        <v>24</v>
      </c>
      <c r="E891" s="2">
        <v>1</v>
      </c>
      <c r="F891" s="1" t="s">
        <v>3646</v>
      </c>
      <c r="G891" s="1" t="s">
        <v>3647</v>
      </c>
      <c r="H891" s="2">
        <v>40</v>
      </c>
      <c r="I891" s="2">
        <v>30500</v>
      </c>
      <c r="J891" s="1" t="s">
        <v>3648</v>
      </c>
      <c r="K891" s="2">
        <v>30500</v>
      </c>
      <c r="L891" s="1" t="s">
        <v>68</v>
      </c>
      <c r="M891" s="1" t="s">
        <v>69</v>
      </c>
      <c r="N891" s="1" t="s">
        <v>72</v>
      </c>
      <c r="O891" s="1" t="s">
        <v>644</v>
      </c>
      <c r="P891" s="1" t="s">
        <v>72</v>
      </c>
      <c r="Q891" s="1" t="s">
        <v>639</v>
      </c>
      <c r="R891" s="1" t="s">
        <v>645</v>
      </c>
      <c r="S891" s="1" t="s">
        <v>71</v>
      </c>
      <c r="T891" s="3" t="str">
        <f>Sheet4!H891</f>
        <v xml:space="preserve"> View Map </v>
      </c>
    </row>
    <row r="892" spans="1:20" ht="15" x14ac:dyDescent="0.25">
      <c r="A892" s="1" t="s">
        <v>3649</v>
      </c>
      <c r="B892" s="1" t="s">
        <v>3650</v>
      </c>
      <c r="C892" s="2">
        <v>2011</v>
      </c>
      <c r="D892" s="1" t="s">
        <v>24</v>
      </c>
      <c r="E892" s="2">
        <v>1</v>
      </c>
      <c r="F892" s="1" t="s">
        <v>3035</v>
      </c>
      <c r="G892" s="1" t="s">
        <v>3035</v>
      </c>
      <c r="H892" s="2">
        <v>243</v>
      </c>
      <c r="I892" s="2">
        <v>35000</v>
      </c>
      <c r="J892" s="1" t="s">
        <v>3651</v>
      </c>
      <c r="K892" s="2">
        <v>35000</v>
      </c>
      <c r="L892" s="1" t="s">
        <v>68</v>
      </c>
      <c r="M892" s="1" t="s">
        <v>69</v>
      </c>
      <c r="N892" s="1" t="s">
        <v>72</v>
      </c>
      <c r="O892" s="1" t="s">
        <v>598</v>
      </c>
      <c r="P892" s="1" t="s">
        <v>72</v>
      </c>
      <c r="Q892" s="1" t="s">
        <v>593</v>
      </c>
      <c r="R892" s="1" t="s">
        <v>72</v>
      </c>
      <c r="S892" s="1" t="s">
        <v>71</v>
      </c>
      <c r="T892" s="3" t="str">
        <f>Sheet4!H892</f>
        <v xml:space="preserve"> View Map </v>
      </c>
    </row>
    <row r="893" spans="1:20" ht="15" x14ac:dyDescent="0.25">
      <c r="A893" s="1" t="s">
        <v>3652</v>
      </c>
      <c r="B893" s="1" t="s">
        <v>3653</v>
      </c>
      <c r="C893" s="2">
        <v>2017</v>
      </c>
      <c r="D893" s="1" t="s">
        <v>24</v>
      </c>
      <c r="E893" s="2">
        <v>1</v>
      </c>
      <c r="F893" s="1" t="s">
        <v>3654</v>
      </c>
      <c r="G893" s="1"/>
      <c r="H893" s="2">
        <v>300</v>
      </c>
      <c r="I893" s="2">
        <v>42000</v>
      </c>
      <c r="J893" s="1" t="s">
        <v>3655</v>
      </c>
      <c r="K893" s="2">
        <v>42000</v>
      </c>
      <c r="L893" s="1" t="s">
        <v>68</v>
      </c>
      <c r="M893" s="1" t="s">
        <v>69</v>
      </c>
      <c r="N893" s="1" t="s">
        <v>322</v>
      </c>
      <c r="O893" s="1" t="s">
        <v>323</v>
      </c>
      <c r="P893" s="1" t="s">
        <v>162</v>
      </c>
      <c r="Q893" s="1" t="s">
        <v>316</v>
      </c>
      <c r="R893" s="1" t="s">
        <v>322</v>
      </c>
      <c r="S893" s="1" t="s">
        <v>71</v>
      </c>
      <c r="T893" s="3" t="str">
        <f>Sheet4!H893</f>
        <v xml:space="preserve"> View Map </v>
      </c>
    </row>
    <row r="894" spans="1:20" ht="15" x14ac:dyDescent="0.25">
      <c r="A894" s="1" t="s">
        <v>3656</v>
      </c>
      <c r="B894" s="1" t="s">
        <v>3657</v>
      </c>
      <c r="C894" s="2">
        <v>2025</v>
      </c>
      <c r="D894" s="1" t="s">
        <v>24</v>
      </c>
      <c r="E894" s="2">
        <v>1</v>
      </c>
      <c r="F894" s="1" t="s">
        <v>3658</v>
      </c>
      <c r="G894" s="1"/>
      <c r="H894" s="2">
        <v>115</v>
      </c>
      <c r="I894" s="2">
        <v>48000</v>
      </c>
      <c r="J894" s="1" t="s">
        <v>3659</v>
      </c>
      <c r="K894" s="2">
        <v>48000</v>
      </c>
      <c r="L894" s="1" t="s">
        <v>68</v>
      </c>
      <c r="M894" s="1" t="s">
        <v>69</v>
      </c>
      <c r="N894" s="1" t="s">
        <v>322</v>
      </c>
      <c r="O894" s="1" t="s">
        <v>783</v>
      </c>
      <c r="P894" s="1" t="s">
        <v>162</v>
      </c>
      <c r="Q894" s="1" t="s">
        <v>316</v>
      </c>
      <c r="R894" s="1" t="s">
        <v>322</v>
      </c>
      <c r="S894" s="1" t="s">
        <v>71</v>
      </c>
      <c r="T894" s="3" t="str">
        <f>Sheet4!H894</f>
        <v xml:space="preserve"> View Map </v>
      </c>
    </row>
    <row r="895" spans="1:20" ht="15" x14ac:dyDescent="0.25">
      <c r="A895" s="1" t="s">
        <v>3660</v>
      </c>
      <c r="B895" s="1" t="s">
        <v>3661</v>
      </c>
      <c r="C895" s="2">
        <v>2008</v>
      </c>
      <c r="D895" s="1" t="s">
        <v>24</v>
      </c>
      <c r="E895" s="2">
        <v>1</v>
      </c>
      <c r="F895" s="1" t="s">
        <v>3662</v>
      </c>
      <c r="G895" s="1"/>
      <c r="H895" s="2">
        <v>150</v>
      </c>
      <c r="I895" s="2">
        <v>1800</v>
      </c>
      <c r="J895" s="1" t="s">
        <v>3663</v>
      </c>
      <c r="K895" s="2">
        <v>1800</v>
      </c>
      <c r="L895" s="1" t="s">
        <v>68</v>
      </c>
      <c r="M895" s="1" t="s">
        <v>69</v>
      </c>
      <c r="N895" s="1" t="s">
        <v>72</v>
      </c>
      <c r="O895" s="1" t="s">
        <v>644</v>
      </c>
      <c r="P895" s="1" t="s">
        <v>72</v>
      </c>
      <c r="Q895" s="1" t="s">
        <v>811</v>
      </c>
      <c r="R895" s="1" t="s">
        <v>72</v>
      </c>
      <c r="S895" s="1" t="s">
        <v>71</v>
      </c>
      <c r="T895" s="3" t="str">
        <f>Sheet4!H895</f>
        <v xml:space="preserve"> View Map </v>
      </c>
    </row>
    <row r="896" spans="1:20" ht="15" x14ac:dyDescent="0.25">
      <c r="A896" s="1" t="s">
        <v>3664</v>
      </c>
      <c r="B896" s="1" t="s">
        <v>128</v>
      </c>
      <c r="C896" s="2">
        <v>2012</v>
      </c>
      <c r="D896" s="1" t="s">
        <v>24</v>
      </c>
      <c r="E896" s="2">
        <v>1</v>
      </c>
      <c r="F896" s="1" t="s">
        <v>3665</v>
      </c>
      <c r="G896" s="1"/>
      <c r="H896" s="2">
        <v>515</v>
      </c>
      <c r="I896" s="2">
        <v>9000</v>
      </c>
      <c r="J896" s="1" t="s">
        <v>3666</v>
      </c>
      <c r="K896" s="2">
        <v>9000</v>
      </c>
      <c r="L896" s="1" t="s">
        <v>68</v>
      </c>
      <c r="M896" s="1" t="s">
        <v>69</v>
      </c>
      <c r="N896" s="1" t="s">
        <v>53</v>
      </c>
      <c r="O896" s="1" t="s">
        <v>127</v>
      </c>
      <c r="P896" s="1" t="s">
        <v>45</v>
      </c>
      <c r="Q896" s="1" t="s">
        <v>122</v>
      </c>
      <c r="R896" s="1" t="s">
        <v>128</v>
      </c>
      <c r="S896" s="1" t="s">
        <v>71</v>
      </c>
      <c r="T896" s="3" t="str">
        <f>Sheet4!H896</f>
        <v xml:space="preserve"> View Map </v>
      </c>
    </row>
    <row r="897" spans="1:20" ht="15" x14ac:dyDescent="0.25">
      <c r="A897" s="1" t="s">
        <v>3667</v>
      </c>
      <c r="B897" s="1" t="s">
        <v>3668</v>
      </c>
      <c r="C897" s="2">
        <v>2013</v>
      </c>
      <c r="D897" s="1" t="s">
        <v>24</v>
      </c>
      <c r="E897" s="2">
        <v>1</v>
      </c>
      <c r="F897" s="1" t="s">
        <v>3669</v>
      </c>
      <c r="G897" s="1" t="s">
        <v>3669</v>
      </c>
      <c r="H897" s="2">
        <v>150</v>
      </c>
      <c r="I897" s="2">
        <v>30000</v>
      </c>
      <c r="J897" s="1" t="s">
        <v>3670</v>
      </c>
      <c r="K897" s="1" t="s">
        <v>28</v>
      </c>
      <c r="L897" s="1" t="s">
        <v>68</v>
      </c>
      <c r="M897" s="1" t="s">
        <v>69</v>
      </c>
      <c r="N897" s="1" t="s">
        <v>275</v>
      </c>
      <c r="O897" s="1" t="s">
        <v>1673</v>
      </c>
      <c r="P897" s="1" t="s">
        <v>304</v>
      </c>
      <c r="Q897" s="1" t="s">
        <v>386</v>
      </c>
      <c r="R897" s="1" t="s">
        <v>275</v>
      </c>
      <c r="S897" s="1" t="s">
        <v>71</v>
      </c>
      <c r="T897" s="3" t="str">
        <f>Sheet4!H897</f>
        <v xml:space="preserve"> View Map </v>
      </c>
    </row>
    <row r="898" spans="1:20" ht="15" x14ac:dyDescent="0.25">
      <c r="A898" s="1" t="s">
        <v>3671</v>
      </c>
      <c r="B898" s="1" t="s">
        <v>3672</v>
      </c>
      <c r="C898" s="2">
        <v>2015</v>
      </c>
      <c r="D898" s="1" t="s">
        <v>24</v>
      </c>
      <c r="E898" s="2">
        <v>1</v>
      </c>
      <c r="F898" s="1" t="s">
        <v>3673</v>
      </c>
      <c r="G898" s="1" t="s">
        <v>3066</v>
      </c>
      <c r="H898" s="2">
        <v>0</v>
      </c>
      <c r="I898" s="2">
        <v>35000</v>
      </c>
      <c r="J898" s="1" t="s">
        <v>3674</v>
      </c>
      <c r="K898" s="2">
        <v>35000</v>
      </c>
      <c r="L898" s="1" t="s">
        <v>68</v>
      </c>
      <c r="M898" s="1" t="s">
        <v>69</v>
      </c>
      <c r="N898" s="1" t="s">
        <v>309</v>
      </c>
      <c r="O898" s="1" t="s">
        <v>310</v>
      </c>
      <c r="P898" s="1" t="s">
        <v>304</v>
      </c>
      <c r="Q898" s="1" t="s">
        <v>305</v>
      </c>
      <c r="R898" s="1" t="s">
        <v>309</v>
      </c>
      <c r="S898" s="1" t="s">
        <v>71</v>
      </c>
      <c r="T898" s="3" t="str">
        <f>Sheet4!H898</f>
        <v xml:space="preserve"> View Map </v>
      </c>
    </row>
    <row r="899" spans="1:20" ht="15" x14ac:dyDescent="0.25">
      <c r="A899" s="1" t="s">
        <v>3675</v>
      </c>
      <c r="B899" s="1" t="s">
        <v>3676</v>
      </c>
      <c r="C899" s="2">
        <v>2024</v>
      </c>
      <c r="D899" s="1" t="s">
        <v>24</v>
      </c>
      <c r="E899" s="2">
        <v>1</v>
      </c>
      <c r="F899" s="1" t="s">
        <v>3677</v>
      </c>
      <c r="G899" s="1"/>
      <c r="H899" s="2">
        <v>631</v>
      </c>
      <c r="I899" s="2">
        <v>25000</v>
      </c>
      <c r="J899" s="1" t="s">
        <v>3678</v>
      </c>
      <c r="K899" s="2">
        <v>25000</v>
      </c>
      <c r="L899" s="1" t="s">
        <v>51</v>
      </c>
      <c r="M899" s="1" t="s">
        <v>52</v>
      </c>
      <c r="N899" s="1" t="s">
        <v>53</v>
      </c>
      <c r="O899" s="1" t="s">
        <v>127</v>
      </c>
      <c r="P899" s="1" t="s">
        <v>45</v>
      </c>
      <c r="Q899" s="1" t="s">
        <v>122</v>
      </c>
      <c r="R899" s="1" t="s">
        <v>128</v>
      </c>
      <c r="S899" s="1" t="s">
        <v>1984</v>
      </c>
      <c r="T899" s="3" t="str">
        <f>Sheet4!H899</f>
        <v xml:space="preserve"> View Map </v>
      </c>
    </row>
    <row r="900" spans="1:20" ht="15" x14ac:dyDescent="0.25">
      <c r="A900" s="1" t="s">
        <v>3679</v>
      </c>
      <c r="B900" s="1" t="s">
        <v>3680</v>
      </c>
      <c r="C900" s="2">
        <v>2020</v>
      </c>
      <c r="D900" s="1" t="s">
        <v>24</v>
      </c>
      <c r="E900" s="2">
        <v>1</v>
      </c>
      <c r="F900" s="1" t="s">
        <v>3681</v>
      </c>
      <c r="G900" s="1" t="s">
        <v>3682</v>
      </c>
      <c r="H900" s="2">
        <v>137</v>
      </c>
      <c r="I900" s="2">
        <v>9000</v>
      </c>
      <c r="J900" s="1" t="s">
        <v>3683</v>
      </c>
      <c r="K900" s="1" t="s">
        <v>28</v>
      </c>
      <c r="L900" s="1" t="s">
        <v>68</v>
      </c>
      <c r="M900" s="1" t="s">
        <v>69</v>
      </c>
      <c r="N900" s="1" t="s">
        <v>309</v>
      </c>
      <c r="O900" s="1" t="s">
        <v>1226</v>
      </c>
      <c r="P900" s="1" t="s">
        <v>304</v>
      </c>
      <c r="Q900" s="1" t="s">
        <v>432</v>
      </c>
      <c r="R900" s="1" t="s">
        <v>309</v>
      </c>
      <c r="S900" s="1" t="s">
        <v>71</v>
      </c>
      <c r="T900" s="3" t="str">
        <f>Sheet4!H900</f>
        <v xml:space="preserve"> View Map </v>
      </c>
    </row>
    <row r="901" spans="1:20" ht="15" x14ac:dyDescent="0.25">
      <c r="A901" s="1" t="s">
        <v>3684</v>
      </c>
      <c r="B901" s="1" t="s">
        <v>3685</v>
      </c>
      <c r="C901" s="2">
        <v>2011</v>
      </c>
      <c r="D901" s="1" t="s">
        <v>24</v>
      </c>
      <c r="E901" s="2">
        <v>1</v>
      </c>
      <c r="F901" s="1" t="s">
        <v>208</v>
      </c>
      <c r="G901" s="1" t="s">
        <v>208</v>
      </c>
      <c r="H901" s="2">
        <v>1500</v>
      </c>
      <c r="I901" s="2">
        <v>6500</v>
      </c>
      <c r="J901" s="1" t="s">
        <v>3686</v>
      </c>
      <c r="K901" s="2">
        <v>6500</v>
      </c>
      <c r="L901" s="1" t="s">
        <v>51</v>
      </c>
      <c r="M901" s="1" t="s">
        <v>52</v>
      </c>
      <c r="N901" s="1" t="s">
        <v>53</v>
      </c>
      <c r="O901" s="1" t="s">
        <v>62</v>
      </c>
      <c r="P901" s="1" t="s">
        <v>45</v>
      </c>
      <c r="Q901" s="1" t="s">
        <v>46</v>
      </c>
      <c r="R901" s="1" t="s">
        <v>105</v>
      </c>
      <c r="S901" s="1" t="s">
        <v>71</v>
      </c>
      <c r="T901" s="3" t="str">
        <f>Sheet4!H901</f>
        <v xml:space="preserve"> View Map </v>
      </c>
    </row>
    <row r="902" spans="1:20" ht="15" x14ac:dyDescent="0.25">
      <c r="A902" s="1" t="s">
        <v>3687</v>
      </c>
      <c r="B902" s="1" t="s">
        <v>3688</v>
      </c>
      <c r="C902" s="2">
        <v>2014</v>
      </c>
      <c r="D902" s="1" t="s">
        <v>24</v>
      </c>
      <c r="E902" s="2">
        <v>0</v>
      </c>
      <c r="F902" s="1" t="s">
        <v>3689</v>
      </c>
      <c r="G902" s="1" t="s">
        <v>3690</v>
      </c>
      <c r="H902" s="2">
        <v>2000</v>
      </c>
      <c r="I902" s="2">
        <v>1250</v>
      </c>
      <c r="J902" s="1" t="s">
        <v>3691</v>
      </c>
      <c r="K902" s="1" t="s">
        <v>28</v>
      </c>
      <c r="L902" s="1" t="s">
        <v>68</v>
      </c>
      <c r="M902" s="1" t="s">
        <v>69</v>
      </c>
      <c r="N902" s="1" t="s">
        <v>322</v>
      </c>
      <c r="O902" s="1" t="s">
        <v>1137</v>
      </c>
      <c r="P902" s="1" t="s">
        <v>162</v>
      </c>
      <c r="Q902" s="1" t="s">
        <v>316</v>
      </c>
      <c r="R902" s="1" t="s">
        <v>784</v>
      </c>
      <c r="S902" s="1" t="s">
        <v>71</v>
      </c>
      <c r="T902" s="3" t="str">
        <f>Sheet4!H902</f>
        <v xml:space="preserve"> View Map </v>
      </c>
    </row>
    <row r="903" spans="1:20" ht="15" x14ac:dyDescent="0.25">
      <c r="A903" s="1" t="s">
        <v>3692</v>
      </c>
      <c r="B903" s="1" t="s">
        <v>3693</v>
      </c>
      <c r="C903" s="2">
        <v>2020</v>
      </c>
      <c r="D903" s="1" t="s">
        <v>24</v>
      </c>
      <c r="E903" s="2">
        <v>1</v>
      </c>
      <c r="F903" s="1" t="s">
        <v>3694</v>
      </c>
      <c r="G903" s="1"/>
      <c r="H903" s="2">
        <v>1400</v>
      </c>
      <c r="I903" s="2">
        <v>75000</v>
      </c>
      <c r="J903" s="1" t="s">
        <v>3695</v>
      </c>
      <c r="K903" s="2">
        <v>75000</v>
      </c>
      <c r="L903" s="1" t="s">
        <v>29</v>
      </c>
      <c r="M903" s="1" t="s">
        <v>30</v>
      </c>
      <c r="N903" s="1" t="s">
        <v>20</v>
      </c>
      <c r="O903" s="1" t="s">
        <v>737</v>
      </c>
      <c r="P903" s="1" t="s">
        <v>20</v>
      </c>
      <c r="Q903" s="1" t="s">
        <v>179</v>
      </c>
      <c r="R903" s="1" t="s">
        <v>738</v>
      </c>
      <c r="S903" s="1" t="s">
        <v>71</v>
      </c>
      <c r="T903" s="3" t="str">
        <f>Sheet4!H903</f>
        <v xml:space="preserve"> View Map </v>
      </c>
    </row>
    <row r="904" spans="1:20" ht="15" x14ac:dyDescent="0.25">
      <c r="A904" s="1" t="s">
        <v>3696</v>
      </c>
      <c r="B904" s="1" t="s">
        <v>3697</v>
      </c>
      <c r="C904" s="2">
        <v>2015</v>
      </c>
      <c r="D904" s="1" t="s">
        <v>24</v>
      </c>
      <c r="E904" s="2">
        <v>1</v>
      </c>
      <c r="F904" s="1" t="s">
        <v>3698</v>
      </c>
      <c r="G904" s="1" t="s">
        <v>3699</v>
      </c>
      <c r="H904" s="2">
        <v>2200</v>
      </c>
      <c r="I904" s="2">
        <v>46000</v>
      </c>
      <c r="J904" s="1" t="s">
        <v>3700</v>
      </c>
      <c r="K904" s="2">
        <v>46000</v>
      </c>
      <c r="L904" s="1" t="s">
        <v>51</v>
      </c>
      <c r="M904" s="1" t="s">
        <v>159</v>
      </c>
      <c r="N904" s="1" t="s">
        <v>160</v>
      </c>
      <c r="O904" s="1" t="s">
        <v>679</v>
      </c>
      <c r="P904" s="1" t="s">
        <v>153</v>
      </c>
      <c r="Q904" s="1" t="s">
        <v>160</v>
      </c>
      <c r="R904" s="1" t="s">
        <v>188</v>
      </c>
      <c r="S904" s="1" t="s">
        <v>71</v>
      </c>
      <c r="T904" s="3" t="str">
        <f>Sheet4!H904</f>
        <v xml:space="preserve"> View Map </v>
      </c>
    </row>
    <row r="905" spans="1:20" ht="15" x14ac:dyDescent="0.25">
      <c r="A905" s="1" t="s">
        <v>3701</v>
      </c>
      <c r="B905" s="1" t="s">
        <v>3702</v>
      </c>
      <c r="C905" s="2">
        <v>2016</v>
      </c>
      <c r="D905" s="1" t="s">
        <v>24</v>
      </c>
      <c r="E905" s="2">
        <v>1</v>
      </c>
      <c r="F905" s="1"/>
      <c r="G905" s="1"/>
      <c r="H905" s="2">
        <v>50</v>
      </c>
      <c r="I905" s="2">
        <v>50000</v>
      </c>
      <c r="J905" s="1" t="s">
        <v>3703</v>
      </c>
      <c r="K905" s="2">
        <v>50000</v>
      </c>
      <c r="L905" s="1" t="s">
        <v>68</v>
      </c>
      <c r="M905" s="1" t="s">
        <v>69</v>
      </c>
      <c r="N905" s="1" t="s">
        <v>162</v>
      </c>
      <c r="O905" s="1" t="s">
        <v>374</v>
      </c>
      <c r="P905" s="1" t="s">
        <v>162</v>
      </c>
      <c r="Q905" s="1" t="s">
        <v>162</v>
      </c>
      <c r="R905" s="1" t="s">
        <v>162</v>
      </c>
      <c r="S905" s="1" t="s">
        <v>71</v>
      </c>
      <c r="T905" s="3" t="str">
        <f>Sheet4!H905</f>
        <v xml:space="preserve"> View Map </v>
      </c>
    </row>
    <row r="906" spans="1:20" ht="15" x14ac:dyDescent="0.25">
      <c r="A906" s="1" t="s">
        <v>3704</v>
      </c>
      <c r="B906" s="1" t="s">
        <v>3705</v>
      </c>
      <c r="C906" s="2">
        <v>2024</v>
      </c>
      <c r="D906" s="1" t="s">
        <v>24</v>
      </c>
      <c r="E906" s="2">
        <v>1</v>
      </c>
      <c r="F906" s="1" t="s">
        <v>3706</v>
      </c>
      <c r="G906" s="1"/>
      <c r="H906" s="2">
        <v>0</v>
      </c>
      <c r="I906" s="2">
        <v>35000</v>
      </c>
      <c r="J906" s="1" t="s">
        <v>3707</v>
      </c>
      <c r="K906" s="2">
        <v>35000</v>
      </c>
      <c r="L906" s="1" t="s">
        <v>68</v>
      </c>
      <c r="M906" s="1" t="s">
        <v>69</v>
      </c>
      <c r="N906" s="1" t="s">
        <v>322</v>
      </c>
      <c r="O906" s="1" t="s">
        <v>323</v>
      </c>
      <c r="P906" s="1" t="s">
        <v>162</v>
      </c>
      <c r="Q906" s="1" t="s">
        <v>316</v>
      </c>
      <c r="R906" s="1" t="s">
        <v>784</v>
      </c>
      <c r="S906" s="1" t="s">
        <v>71</v>
      </c>
      <c r="T906" s="3" t="str">
        <f>Sheet4!H906</f>
        <v xml:space="preserve"> View Map </v>
      </c>
    </row>
    <row r="907" spans="1:20" ht="15" x14ac:dyDescent="0.25">
      <c r="A907" s="1" t="s">
        <v>3708</v>
      </c>
      <c r="B907" s="1" t="s">
        <v>3709</v>
      </c>
      <c r="C907" s="2">
        <v>2016</v>
      </c>
      <c r="D907" s="1" t="s">
        <v>24</v>
      </c>
      <c r="E907" s="2">
        <v>1</v>
      </c>
      <c r="F907" s="1" t="s">
        <v>3710</v>
      </c>
      <c r="G907" s="1"/>
      <c r="H907" s="2">
        <v>0</v>
      </c>
      <c r="I907" s="2">
        <v>32500</v>
      </c>
      <c r="J907" s="1" t="s">
        <v>3711</v>
      </c>
      <c r="K907" s="2">
        <v>32500</v>
      </c>
      <c r="L907" s="1" t="s">
        <v>68</v>
      </c>
      <c r="M907" s="1" t="s">
        <v>69</v>
      </c>
      <c r="N907" s="1" t="s">
        <v>309</v>
      </c>
      <c r="O907" s="1" t="s">
        <v>3712</v>
      </c>
      <c r="P907" s="1" t="s">
        <v>304</v>
      </c>
      <c r="Q907" s="1" t="s">
        <v>305</v>
      </c>
      <c r="R907" s="1" t="s">
        <v>309</v>
      </c>
      <c r="S907" s="1" t="s">
        <v>71</v>
      </c>
      <c r="T907" s="3" t="str">
        <f>Sheet4!H907</f>
        <v xml:space="preserve"> View Map </v>
      </c>
    </row>
    <row r="908" spans="1:20" ht="15" x14ac:dyDescent="0.25">
      <c r="A908" s="1" t="s">
        <v>3713</v>
      </c>
      <c r="B908" s="1" t="s">
        <v>3714</v>
      </c>
      <c r="C908" s="2">
        <v>2017</v>
      </c>
      <c r="D908" s="1" t="s">
        <v>24</v>
      </c>
      <c r="E908" s="2">
        <v>1</v>
      </c>
      <c r="F908" s="1" t="s">
        <v>3715</v>
      </c>
      <c r="G908" s="1" t="s">
        <v>3714</v>
      </c>
      <c r="H908" s="2">
        <v>0</v>
      </c>
      <c r="I908" s="2">
        <v>32500</v>
      </c>
      <c r="J908" s="1" t="s">
        <v>3716</v>
      </c>
      <c r="K908" s="2">
        <v>32500</v>
      </c>
      <c r="L908" s="1" t="s">
        <v>68</v>
      </c>
      <c r="M908" s="1" t="s">
        <v>69</v>
      </c>
      <c r="N908" s="1" t="s">
        <v>309</v>
      </c>
      <c r="O908" s="1" t="s">
        <v>1226</v>
      </c>
      <c r="P908" s="1" t="s">
        <v>304</v>
      </c>
      <c r="Q908" s="1" t="s">
        <v>432</v>
      </c>
      <c r="R908" s="1" t="s">
        <v>309</v>
      </c>
      <c r="S908" s="1" t="s">
        <v>71</v>
      </c>
      <c r="T908" s="3" t="str">
        <f>Sheet4!H908</f>
        <v xml:space="preserve"> View Map </v>
      </c>
    </row>
    <row r="909" spans="1:20" ht="15" x14ac:dyDescent="0.25">
      <c r="A909" s="1" t="s">
        <v>3717</v>
      </c>
      <c r="B909" s="1" t="s">
        <v>3718</v>
      </c>
      <c r="C909" s="2">
        <v>2016</v>
      </c>
      <c r="D909" s="1" t="s">
        <v>24</v>
      </c>
      <c r="E909" s="2">
        <v>1</v>
      </c>
      <c r="F909" s="1" t="s">
        <v>3719</v>
      </c>
      <c r="G909" s="1" t="s">
        <v>3720</v>
      </c>
      <c r="H909" s="2">
        <v>2250</v>
      </c>
      <c r="I909" s="2">
        <v>35000</v>
      </c>
      <c r="J909" s="1" t="s">
        <v>3720</v>
      </c>
      <c r="K909" s="2">
        <v>35000</v>
      </c>
      <c r="L909" s="1" t="s">
        <v>29</v>
      </c>
      <c r="M909" s="1" t="s">
        <v>134</v>
      </c>
      <c r="N909" s="1" t="s">
        <v>160</v>
      </c>
      <c r="O909" s="1" t="s">
        <v>187</v>
      </c>
      <c r="P909" s="1" t="s">
        <v>153</v>
      </c>
      <c r="Q909" s="1" t="s">
        <v>184</v>
      </c>
      <c r="R909" s="1" t="s">
        <v>188</v>
      </c>
      <c r="S909" s="1" t="s">
        <v>71</v>
      </c>
      <c r="T909" s="3" t="str">
        <f>Sheet4!H909</f>
        <v xml:space="preserve"> View Map </v>
      </c>
    </row>
    <row r="910" spans="1:20" ht="15" x14ac:dyDescent="0.25">
      <c r="A910" s="1" t="s">
        <v>3721</v>
      </c>
      <c r="B910" s="1" t="s">
        <v>3722</v>
      </c>
      <c r="C910" s="2">
        <v>2017</v>
      </c>
      <c r="D910" s="1" t="s">
        <v>24</v>
      </c>
      <c r="E910" s="2">
        <v>1</v>
      </c>
      <c r="F910" s="1" t="s">
        <v>3249</v>
      </c>
      <c r="G910" s="1"/>
      <c r="H910" s="2">
        <v>2500</v>
      </c>
      <c r="I910" s="2">
        <v>100000</v>
      </c>
      <c r="J910" s="1" t="s">
        <v>3723</v>
      </c>
      <c r="K910" s="2">
        <v>100000</v>
      </c>
      <c r="L910" s="1" t="s">
        <v>51</v>
      </c>
      <c r="M910" s="1" t="s">
        <v>28</v>
      </c>
      <c r="N910" s="1" t="s">
        <v>53</v>
      </c>
      <c r="O910" s="1" t="s">
        <v>338</v>
      </c>
      <c r="P910" s="1" t="s">
        <v>45</v>
      </c>
      <c r="Q910" s="1" t="s">
        <v>332</v>
      </c>
      <c r="R910" s="1" t="s">
        <v>55</v>
      </c>
      <c r="S910" s="1" t="s">
        <v>71</v>
      </c>
      <c r="T910" s="3" t="str">
        <f>Sheet4!H910</f>
        <v xml:space="preserve"> View Map </v>
      </c>
    </row>
    <row r="911" spans="1:20" ht="15" x14ac:dyDescent="0.25">
      <c r="A911" s="1" t="s">
        <v>3724</v>
      </c>
      <c r="B911" s="1" t="s">
        <v>3725</v>
      </c>
      <c r="C911" s="2">
        <v>2017</v>
      </c>
      <c r="D911" s="1" t="s">
        <v>24</v>
      </c>
      <c r="E911" s="2">
        <v>1</v>
      </c>
      <c r="F911" s="1" t="s">
        <v>3726</v>
      </c>
      <c r="G911" s="1"/>
      <c r="H911" s="2">
        <v>0</v>
      </c>
      <c r="I911" s="2">
        <v>150000</v>
      </c>
      <c r="J911" s="1" t="s">
        <v>3727</v>
      </c>
      <c r="K911" s="2">
        <v>150000</v>
      </c>
      <c r="L911" s="1" t="s">
        <v>51</v>
      </c>
      <c r="M911" s="1" t="s">
        <v>28</v>
      </c>
      <c r="N911" s="1" t="s">
        <v>53</v>
      </c>
      <c r="O911" s="1" t="s">
        <v>338</v>
      </c>
      <c r="P911" s="1" t="s">
        <v>45</v>
      </c>
      <c r="Q911" s="1" t="s">
        <v>332</v>
      </c>
      <c r="R911" s="1" t="s">
        <v>55</v>
      </c>
      <c r="S911" s="1" t="s">
        <v>71</v>
      </c>
      <c r="T911" s="3" t="str">
        <f>Sheet4!H911</f>
        <v xml:space="preserve"> View Map </v>
      </c>
    </row>
    <row r="912" spans="1:20" ht="15" x14ac:dyDescent="0.25">
      <c r="A912" s="1" t="s">
        <v>3728</v>
      </c>
      <c r="B912" s="1" t="s">
        <v>3729</v>
      </c>
      <c r="C912" s="2">
        <v>2002</v>
      </c>
      <c r="D912" s="1" t="s">
        <v>24</v>
      </c>
      <c r="E912" s="2">
        <v>1</v>
      </c>
      <c r="F912" s="1" t="s">
        <v>3730</v>
      </c>
      <c r="G912" s="1"/>
      <c r="H912" s="2">
        <v>0</v>
      </c>
      <c r="I912" s="2">
        <v>100000</v>
      </c>
      <c r="J912" s="1" t="s">
        <v>3731</v>
      </c>
      <c r="K912" s="2">
        <v>100000</v>
      </c>
      <c r="L912" s="1" t="s">
        <v>51</v>
      </c>
      <c r="M912" s="1" t="s">
        <v>28</v>
      </c>
      <c r="N912" s="1" t="s">
        <v>53</v>
      </c>
      <c r="O912" s="1" t="s">
        <v>338</v>
      </c>
      <c r="P912" s="1" t="s">
        <v>45</v>
      </c>
      <c r="Q912" s="1" t="s">
        <v>332</v>
      </c>
      <c r="R912" s="1" t="s">
        <v>55</v>
      </c>
      <c r="S912" s="1" t="s">
        <v>71</v>
      </c>
      <c r="T912" s="3" t="str">
        <f>Sheet4!H912</f>
        <v xml:space="preserve"> View Map </v>
      </c>
    </row>
    <row r="913" spans="1:20" ht="15" x14ac:dyDescent="0.25">
      <c r="A913" s="1" t="s">
        <v>3732</v>
      </c>
      <c r="B913" s="1" t="s">
        <v>3733</v>
      </c>
      <c r="C913" s="2">
        <v>2017</v>
      </c>
      <c r="D913" s="1" t="s">
        <v>24</v>
      </c>
      <c r="E913" s="2">
        <v>1</v>
      </c>
      <c r="F913" s="1" t="s">
        <v>3734</v>
      </c>
      <c r="G913" s="1"/>
      <c r="H913" s="2">
        <v>0</v>
      </c>
      <c r="I913" s="2">
        <v>150000</v>
      </c>
      <c r="J913" s="1" t="s">
        <v>3735</v>
      </c>
      <c r="K913" s="2">
        <v>150000</v>
      </c>
      <c r="L913" s="1" t="s">
        <v>51</v>
      </c>
      <c r="M913" s="1" t="s">
        <v>28</v>
      </c>
      <c r="N913" s="1" t="s">
        <v>53</v>
      </c>
      <c r="O913" s="1" t="s">
        <v>338</v>
      </c>
      <c r="P913" s="1" t="s">
        <v>45</v>
      </c>
      <c r="Q913" s="1" t="s">
        <v>332</v>
      </c>
      <c r="R913" s="1" t="s">
        <v>55</v>
      </c>
      <c r="S913" s="1" t="s">
        <v>71</v>
      </c>
      <c r="T913" s="3" t="str">
        <f>Sheet4!H913</f>
        <v xml:space="preserve"> View Map </v>
      </c>
    </row>
    <row r="914" spans="1:20" ht="15" x14ac:dyDescent="0.25">
      <c r="A914" s="1" t="s">
        <v>3736</v>
      </c>
      <c r="B914" s="1" t="s">
        <v>3737</v>
      </c>
      <c r="C914" s="2">
        <v>2017</v>
      </c>
      <c r="D914" s="1" t="s">
        <v>24</v>
      </c>
      <c r="E914" s="2">
        <v>1</v>
      </c>
      <c r="F914" s="1" t="s">
        <v>3249</v>
      </c>
      <c r="G914" s="1"/>
      <c r="H914" s="2">
        <v>0</v>
      </c>
      <c r="I914" s="2">
        <v>100000</v>
      </c>
      <c r="J914" s="1" t="s">
        <v>3738</v>
      </c>
      <c r="K914" s="2">
        <v>100000</v>
      </c>
      <c r="L914" s="1" t="s">
        <v>51</v>
      </c>
      <c r="M914" s="1" t="s">
        <v>28</v>
      </c>
      <c r="N914" s="1" t="s">
        <v>53</v>
      </c>
      <c r="O914" s="1" t="s">
        <v>338</v>
      </c>
      <c r="P914" s="1" t="s">
        <v>45</v>
      </c>
      <c r="Q914" s="1" t="s">
        <v>332</v>
      </c>
      <c r="R914" s="1" t="s">
        <v>55</v>
      </c>
      <c r="S914" s="1" t="s">
        <v>71</v>
      </c>
      <c r="T914" s="3" t="str">
        <f>Sheet4!H914</f>
        <v xml:space="preserve"> View Map </v>
      </c>
    </row>
    <row r="915" spans="1:20" ht="15" x14ac:dyDescent="0.25">
      <c r="A915" s="1" t="s">
        <v>3739</v>
      </c>
      <c r="B915" s="1" t="s">
        <v>3740</v>
      </c>
      <c r="C915" s="2">
        <v>2023</v>
      </c>
      <c r="D915" s="1" t="s">
        <v>24</v>
      </c>
      <c r="E915" s="2">
        <v>1</v>
      </c>
      <c r="F915" s="1" t="s">
        <v>3741</v>
      </c>
      <c r="G915" s="1"/>
      <c r="H915" s="2">
        <v>0</v>
      </c>
      <c r="I915" s="2">
        <v>158000</v>
      </c>
      <c r="J915" s="1" t="s">
        <v>3742</v>
      </c>
      <c r="K915" s="2">
        <v>395000</v>
      </c>
      <c r="L915" s="1" t="s">
        <v>51</v>
      </c>
      <c r="M915" s="1" t="s">
        <v>52</v>
      </c>
      <c r="N915" s="1" t="s">
        <v>53</v>
      </c>
      <c r="O915" s="1" t="s">
        <v>54</v>
      </c>
      <c r="P915" s="1" t="s">
        <v>45</v>
      </c>
      <c r="Q915" s="1" t="s">
        <v>46</v>
      </c>
      <c r="R915" s="1" t="s">
        <v>55</v>
      </c>
      <c r="S915" s="1" t="s">
        <v>71</v>
      </c>
      <c r="T915" s="3" t="str">
        <f>Sheet4!H915</f>
        <v xml:space="preserve"> View Map </v>
      </c>
    </row>
    <row r="916" spans="1:20" ht="15" x14ac:dyDescent="0.25">
      <c r="A916" s="1" t="s">
        <v>3743</v>
      </c>
      <c r="B916" s="1" t="s">
        <v>3744</v>
      </c>
      <c r="C916" s="2">
        <v>2017</v>
      </c>
      <c r="D916" s="1" t="s">
        <v>24</v>
      </c>
      <c r="E916" s="2">
        <v>1</v>
      </c>
      <c r="F916" s="1" t="s">
        <v>3745</v>
      </c>
      <c r="G916" s="1"/>
      <c r="H916" s="2">
        <v>0</v>
      </c>
      <c r="I916" s="2">
        <v>67500</v>
      </c>
      <c r="J916" s="1" t="s">
        <v>3746</v>
      </c>
      <c r="K916" s="2">
        <v>67500</v>
      </c>
      <c r="L916" s="1" t="s">
        <v>68</v>
      </c>
      <c r="M916" s="1" t="s">
        <v>69</v>
      </c>
      <c r="N916" s="1" t="s">
        <v>53</v>
      </c>
      <c r="O916" s="1" t="s">
        <v>338</v>
      </c>
      <c r="P916" s="1" t="s">
        <v>45</v>
      </c>
      <c r="Q916" s="1" t="s">
        <v>332</v>
      </c>
      <c r="R916" s="1" t="s">
        <v>128</v>
      </c>
      <c r="S916" s="1" t="s">
        <v>71</v>
      </c>
      <c r="T916" s="3" t="str">
        <f>Sheet4!H916</f>
        <v xml:space="preserve"> View Map </v>
      </c>
    </row>
    <row r="917" spans="1:20" ht="15" x14ac:dyDescent="0.25">
      <c r="A917" s="1" t="s">
        <v>3747</v>
      </c>
      <c r="B917" s="1" t="s">
        <v>3726</v>
      </c>
      <c r="C917" s="2">
        <v>2017</v>
      </c>
      <c r="D917" s="1" t="s">
        <v>24</v>
      </c>
      <c r="E917" s="2">
        <v>1</v>
      </c>
      <c r="F917" s="1" t="s">
        <v>3726</v>
      </c>
      <c r="G917" s="1"/>
      <c r="H917" s="2">
        <v>0</v>
      </c>
      <c r="I917" s="2">
        <v>250000</v>
      </c>
      <c r="J917" s="1" t="s">
        <v>3748</v>
      </c>
      <c r="K917" s="2">
        <v>250000</v>
      </c>
      <c r="L917" s="1" t="s">
        <v>51</v>
      </c>
      <c r="M917" s="1" t="s">
        <v>52</v>
      </c>
      <c r="N917" s="1" t="s">
        <v>53</v>
      </c>
      <c r="O917" s="1" t="s">
        <v>28</v>
      </c>
      <c r="P917" s="1" t="s">
        <v>45</v>
      </c>
      <c r="Q917" s="1" t="s">
        <v>332</v>
      </c>
      <c r="R917" s="1" t="s">
        <v>55</v>
      </c>
      <c r="S917" s="1" t="s">
        <v>71</v>
      </c>
      <c r="T917" s="3" t="str">
        <f>Sheet4!H917</f>
        <v xml:space="preserve"> View Map </v>
      </c>
    </row>
    <row r="918" spans="1:20" ht="15" x14ac:dyDescent="0.25">
      <c r="A918" s="1" t="s">
        <v>3749</v>
      </c>
      <c r="B918" s="1" t="s">
        <v>394</v>
      </c>
      <c r="C918" s="2">
        <v>2017</v>
      </c>
      <c r="D918" s="1" t="s">
        <v>24</v>
      </c>
      <c r="E918" s="2">
        <v>1</v>
      </c>
      <c r="F918" s="1" t="s">
        <v>3750</v>
      </c>
      <c r="G918" s="1"/>
      <c r="H918" s="2">
        <v>0</v>
      </c>
      <c r="I918" s="2">
        <v>118800</v>
      </c>
      <c r="J918" s="1" t="s">
        <v>3751</v>
      </c>
      <c r="K918" s="2">
        <v>118800</v>
      </c>
      <c r="L918" s="1" t="s">
        <v>51</v>
      </c>
      <c r="M918" s="1" t="s">
        <v>52</v>
      </c>
      <c r="N918" s="1" t="s">
        <v>20</v>
      </c>
      <c r="O918" s="1" t="s">
        <v>70</v>
      </c>
      <c r="P918" s="1" t="s">
        <v>45</v>
      </c>
      <c r="Q918" s="1" t="s">
        <v>46</v>
      </c>
      <c r="R918" s="1" t="s">
        <v>55</v>
      </c>
      <c r="S918" s="1" t="s">
        <v>71</v>
      </c>
      <c r="T918" s="3" t="str">
        <f>Sheet4!H918</f>
        <v xml:space="preserve"> View Map </v>
      </c>
    </row>
    <row r="919" spans="1:20" ht="15" x14ac:dyDescent="0.25">
      <c r="A919" s="1" t="s">
        <v>3752</v>
      </c>
      <c r="B919" s="1" t="s">
        <v>3753</v>
      </c>
      <c r="C919" s="2">
        <v>2017</v>
      </c>
      <c r="D919" s="1" t="s">
        <v>24</v>
      </c>
      <c r="E919" s="2">
        <v>1</v>
      </c>
      <c r="F919" s="1" t="s">
        <v>3249</v>
      </c>
      <c r="G919" s="1"/>
      <c r="H919" s="2">
        <v>0</v>
      </c>
      <c r="I919" s="2">
        <v>60000</v>
      </c>
      <c r="J919" s="1" t="s">
        <v>3754</v>
      </c>
      <c r="K919" s="2">
        <v>150000</v>
      </c>
      <c r="L919" s="1" t="s">
        <v>68</v>
      </c>
      <c r="M919" s="1" t="s">
        <v>69</v>
      </c>
      <c r="N919" s="1" t="s">
        <v>53</v>
      </c>
      <c r="O919" s="1" t="s">
        <v>338</v>
      </c>
      <c r="P919" s="1" t="s">
        <v>45</v>
      </c>
      <c r="Q919" s="1" t="s">
        <v>332</v>
      </c>
      <c r="R919" s="1" t="s">
        <v>105</v>
      </c>
      <c r="S919" s="1" t="s">
        <v>71</v>
      </c>
      <c r="T919" s="3" t="str">
        <f>Sheet4!H919</f>
        <v xml:space="preserve"> View Map </v>
      </c>
    </row>
    <row r="920" spans="1:20" ht="15" x14ac:dyDescent="0.25">
      <c r="A920" s="1" t="s">
        <v>3755</v>
      </c>
      <c r="B920" s="1" t="s">
        <v>1806</v>
      </c>
      <c r="C920" s="2">
        <v>2017</v>
      </c>
      <c r="D920" s="1" t="s">
        <v>24</v>
      </c>
      <c r="E920" s="2">
        <v>1</v>
      </c>
      <c r="F920" s="1" t="s">
        <v>1806</v>
      </c>
      <c r="G920" s="1"/>
      <c r="H920" s="2">
        <v>1163</v>
      </c>
      <c r="I920" s="2">
        <v>81375</v>
      </c>
      <c r="J920" s="1" t="s">
        <v>3756</v>
      </c>
      <c r="K920" s="2">
        <v>81375</v>
      </c>
      <c r="L920" s="1" t="s">
        <v>51</v>
      </c>
      <c r="M920" s="1" t="s">
        <v>52</v>
      </c>
      <c r="N920" s="1" t="s">
        <v>20</v>
      </c>
      <c r="O920" s="1" t="s">
        <v>43</v>
      </c>
      <c r="P920" s="1" t="s">
        <v>20</v>
      </c>
      <c r="Q920" s="1" t="s">
        <v>21</v>
      </c>
      <c r="R920" s="1" t="s">
        <v>262</v>
      </c>
      <c r="S920" s="1" t="s">
        <v>71</v>
      </c>
      <c r="T920" s="3" t="str">
        <f>Sheet4!H920</f>
        <v xml:space="preserve"> View Map </v>
      </c>
    </row>
    <row r="921" spans="1:20" ht="15" x14ac:dyDescent="0.25">
      <c r="A921" s="1" t="s">
        <v>3757</v>
      </c>
      <c r="B921" s="1" t="s">
        <v>3758</v>
      </c>
      <c r="C921" s="2">
        <v>2017</v>
      </c>
      <c r="D921" s="1" t="s">
        <v>24</v>
      </c>
      <c r="E921" s="2">
        <v>1</v>
      </c>
      <c r="F921" s="1" t="s">
        <v>3759</v>
      </c>
      <c r="G921" s="1"/>
      <c r="H921" s="2">
        <v>0</v>
      </c>
      <c r="I921" s="2">
        <v>140000</v>
      </c>
      <c r="J921" s="1" t="s">
        <v>3760</v>
      </c>
      <c r="K921" s="2">
        <v>140000</v>
      </c>
      <c r="L921" s="1" t="s">
        <v>68</v>
      </c>
      <c r="M921" s="1" t="s">
        <v>69</v>
      </c>
      <c r="N921" s="1" t="s">
        <v>53</v>
      </c>
      <c r="O921" s="1" t="s">
        <v>28</v>
      </c>
      <c r="P921" s="1" t="s">
        <v>45</v>
      </c>
      <c r="Q921" s="1" t="s">
        <v>45</v>
      </c>
      <c r="R921" s="1" t="s">
        <v>55</v>
      </c>
      <c r="S921" s="1" t="s">
        <v>71</v>
      </c>
      <c r="T921" s="3" t="str">
        <f>Sheet4!H921</f>
        <v xml:space="preserve"> View Map </v>
      </c>
    </row>
    <row r="922" spans="1:20" ht="15" x14ac:dyDescent="0.25">
      <c r="A922" s="1" t="s">
        <v>3761</v>
      </c>
      <c r="B922" s="1" t="s">
        <v>3762</v>
      </c>
      <c r="C922" s="2">
        <v>2017</v>
      </c>
      <c r="D922" s="1" t="s">
        <v>24</v>
      </c>
      <c r="E922" s="2">
        <v>1</v>
      </c>
      <c r="F922" s="1" t="s">
        <v>2224</v>
      </c>
      <c r="G922" s="1"/>
      <c r="H922" s="2">
        <v>0</v>
      </c>
      <c r="I922" s="2">
        <v>24000</v>
      </c>
      <c r="J922" s="1" t="s">
        <v>3763</v>
      </c>
      <c r="K922" s="2">
        <v>24000</v>
      </c>
      <c r="L922" s="1" t="s">
        <v>68</v>
      </c>
      <c r="M922" s="1" t="s">
        <v>69</v>
      </c>
      <c r="N922" s="1" t="s">
        <v>162</v>
      </c>
      <c r="O922" s="1" t="s">
        <v>374</v>
      </c>
      <c r="P922" s="1" t="s">
        <v>162</v>
      </c>
      <c r="Q922" s="1" t="s">
        <v>311</v>
      </c>
      <c r="R922" s="1" t="s">
        <v>162</v>
      </c>
      <c r="S922" s="1" t="s">
        <v>71</v>
      </c>
      <c r="T922" s="3" t="str">
        <f>Sheet4!H922</f>
        <v xml:space="preserve"> View Map </v>
      </c>
    </row>
    <row r="923" spans="1:20" ht="15" x14ac:dyDescent="0.25">
      <c r="A923" s="1" t="s">
        <v>3764</v>
      </c>
      <c r="B923" s="1" t="s">
        <v>3765</v>
      </c>
      <c r="C923" s="2">
        <v>2017</v>
      </c>
      <c r="D923" s="1" t="s">
        <v>24</v>
      </c>
      <c r="E923" s="2">
        <v>1</v>
      </c>
      <c r="F923" s="1" t="s">
        <v>3741</v>
      </c>
      <c r="G923" s="1"/>
      <c r="H923" s="2">
        <v>0</v>
      </c>
      <c r="I923" s="2">
        <v>130000</v>
      </c>
      <c r="J923" s="1" t="s">
        <v>3766</v>
      </c>
      <c r="K923" s="2">
        <v>88770</v>
      </c>
      <c r="L923" s="1" t="s">
        <v>68</v>
      </c>
      <c r="M923" s="1" t="s">
        <v>69</v>
      </c>
      <c r="N923" s="1" t="s">
        <v>53</v>
      </c>
      <c r="O923" s="1" t="s">
        <v>54</v>
      </c>
      <c r="P923" s="1" t="s">
        <v>45</v>
      </c>
      <c r="Q923" s="1" t="s">
        <v>46</v>
      </c>
      <c r="R923" s="1" t="s">
        <v>55</v>
      </c>
      <c r="S923" s="1" t="s">
        <v>71</v>
      </c>
      <c r="T923" s="3" t="str">
        <f>Sheet4!H923</f>
        <v xml:space="preserve"> View Map </v>
      </c>
    </row>
    <row r="924" spans="1:20" ht="15" x14ac:dyDescent="0.25">
      <c r="A924" s="1" t="s">
        <v>3767</v>
      </c>
      <c r="B924" s="1" t="s">
        <v>3768</v>
      </c>
      <c r="C924" s="2">
        <v>2025</v>
      </c>
      <c r="D924" s="1" t="s">
        <v>24</v>
      </c>
      <c r="E924" s="2">
        <v>1</v>
      </c>
      <c r="F924" s="1" t="s">
        <v>3769</v>
      </c>
      <c r="G924" s="1"/>
      <c r="H924" s="2">
        <v>1350</v>
      </c>
      <c r="I924" s="2">
        <v>19500</v>
      </c>
      <c r="J924" s="1" t="s">
        <v>3770</v>
      </c>
      <c r="K924" s="1" t="s">
        <v>28</v>
      </c>
      <c r="L924" s="1" t="s">
        <v>29</v>
      </c>
      <c r="M924" s="1" t="s">
        <v>134</v>
      </c>
      <c r="N924" s="1" t="s">
        <v>20</v>
      </c>
      <c r="O924" s="1" t="s">
        <v>3771</v>
      </c>
      <c r="P924" s="1" t="s">
        <v>45</v>
      </c>
      <c r="Q924" s="1" t="s">
        <v>129</v>
      </c>
      <c r="R924" s="1" t="s">
        <v>85</v>
      </c>
      <c r="S924" s="1" t="s">
        <v>71</v>
      </c>
      <c r="T924" s="3" t="str">
        <f>Sheet4!H924</f>
        <v xml:space="preserve"> View Map </v>
      </c>
    </row>
    <row r="925" spans="1:20" ht="15" x14ac:dyDescent="0.25">
      <c r="A925" s="1" t="s">
        <v>3772</v>
      </c>
      <c r="B925" s="1" t="s">
        <v>3773</v>
      </c>
      <c r="C925" s="2">
        <v>2016</v>
      </c>
      <c r="D925" s="1" t="s">
        <v>24</v>
      </c>
      <c r="E925" s="2">
        <v>1</v>
      </c>
      <c r="F925" s="1" t="s">
        <v>3774</v>
      </c>
      <c r="G925" s="1"/>
      <c r="H925" s="2">
        <v>128</v>
      </c>
      <c r="I925" s="2">
        <v>480</v>
      </c>
      <c r="J925" s="1" t="s">
        <v>3775</v>
      </c>
      <c r="K925" s="2">
        <v>480</v>
      </c>
      <c r="L925" s="1" t="s">
        <v>68</v>
      </c>
      <c r="M925" s="1" t="s">
        <v>69</v>
      </c>
      <c r="N925" s="1" t="s">
        <v>162</v>
      </c>
      <c r="O925" s="1" t="s">
        <v>374</v>
      </c>
      <c r="P925" s="1" t="s">
        <v>162</v>
      </c>
      <c r="Q925" s="1" t="s">
        <v>162</v>
      </c>
      <c r="R925" s="1" t="s">
        <v>162</v>
      </c>
      <c r="S925" s="1" t="s">
        <v>71</v>
      </c>
      <c r="T925" s="3" t="str">
        <f>Sheet4!H925</f>
        <v xml:space="preserve"> View Map </v>
      </c>
    </row>
    <row r="926" spans="1:20" ht="15" x14ac:dyDescent="0.25">
      <c r="A926" s="1" t="s">
        <v>3776</v>
      </c>
      <c r="B926" s="1" t="s">
        <v>3777</v>
      </c>
      <c r="C926" s="2">
        <v>2017</v>
      </c>
      <c r="D926" s="1" t="s">
        <v>24</v>
      </c>
      <c r="E926" s="2">
        <v>1</v>
      </c>
      <c r="F926" s="1" t="s">
        <v>3778</v>
      </c>
      <c r="G926" s="1"/>
      <c r="H926" s="2">
        <v>0</v>
      </c>
      <c r="I926" s="2">
        <v>300</v>
      </c>
      <c r="J926" s="1" t="s">
        <v>3779</v>
      </c>
      <c r="K926" s="2">
        <v>300</v>
      </c>
      <c r="L926" s="1" t="s">
        <v>29</v>
      </c>
      <c r="M926" s="1" t="s">
        <v>134</v>
      </c>
      <c r="N926" s="1" t="s">
        <v>20</v>
      </c>
      <c r="O926" s="1" t="s">
        <v>31</v>
      </c>
      <c r="P926" s="1" t="s">
        <v>20</v>
      </c>
      <c r="Q926" s="1" t="s">
        <v>33</v>
      </c>
      <c r="R926" s="1" t="s">
        <v>20</v>
      </c>
      <c r="S926" s="1" t="s">
        <v>71</v>
      </c>
      <c r="T926" s="3" t="str">
        <f>Sheet4!H926</f>
        <v xml:space="preserve"> View Map </v>
      </c>
    </row>
    <row r="927" spans="1:20" ht="15" x14ac:dyDescent="0.25">
      <c r="A927" s="1" t="s">
        <v>3780</v>
      </c>
      <c r="B927" s="1" t="s">
        <v>3781</v>
      </c>
      <c r="C927" s="2">
        <v>2020</v>
      </c>
      <c r="D927" s="1" t="s">
        <v>24</v>
      </c>
      <c r="E927" s="2">
        <v>1</v>
      </c>
      <c r="F927" s="1" t="s">
        <v>3782</v>
      </c>
      <c r="G927" s="1"/>
      <c r="H927" s="2">
        <v>0</v>
      </c>
      <c r="I927" s="2">
        <v>13600</v>
      </c>
      <c r="J927" s="1" t="s">
        <v>3783</v>
      </c>
      <c r="K927" s="2">
        <v>13600</v>
      </c>
      <c r="L927" s="1" t="s">
        <v>29</v>
      </c>
      <c r="M927" s="1" t="s">
        <v>30</v>
      </c>
      <c r="N927" s="1" t="s">
        <v>20</v>
      </c>
      <c r="O927" s="1" t="s">
        <v>43</v>
      </c>
      <c r="P927" s="1" t="s">
        <v>20</v>
      </c>
      <c r="Q927" s="1" t="s">
        <v>21</v>
      </c>
      <c r="R927" s="1" t="s">
        <v>293</v>
      </c>
      <c r="S927" s="1" t="s">
        <v>71</v>
      </c>
      <c r="T927" s="3" t="str">
        <f>Sheet4!H927</f>
        <v xml:space="preserve"> View Map </v>
      </c>
    </row>
    <row r="928" spans="1:20" ht="15" x14ac:dyDescent="0.25">
      <c r="A928" s="1" t="s">
        <v>3784</v>
      </c>
      <c r="B928" s="1" t="s">
        <v>3785</v>
      </c>
      <c r="C928" s="2">
        <v>2018</v>
      </c>
      <c r="D928" s="1" t="s">
        <v>24</v>
      </c>
      <c r="E928" s="2">
        <v>1</v>
      </c>
      <c r="F928" s="1" t="s">
        <v>3786</v>
      </c>
      <c r="G928" s="1"/>
      <c r="H928" s="2">
        <v>0</v>
      </c>
      <c r="I928" s="2">
        <v>35000</v>
      </c>
      <c r="J928" s="1" t="s">
        <v>3787</v>
      </c>
      <c r="K928" s="1" t="s">
        <v>28</v>
      </c>
      <c r="L928" s="1" t="s">
        <v>68</v>
      </c>
      <c r="M928" s="1" t="s">
        <v>69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71</v>
      </c>
      <c r="T928" s="3" t="str">
        <f>Sheet4!H928</f>
        <v xml:space="preserve"> View Map </v>
      </c>
    </row>
    <row r="929" spans="1:20" ht="15" x14ac:dyDescent="0.25">
      <c r="A929" s="1" t="s">
        <v>3788</v>
      </c>
      <c r="B929" s="1" t="s">
        <v>3789</v>
      </c>
      <c r="C929" s="2">
        <v>2018</v>
      </c>
      <c r="D929" s="1" t="s">
        <v>24</v>
      </c>
      <c r="E929" s="2">
        <v>1</v>
      </c>
      <c r="F929" s="1" t="s">
        <v>3790</v>
      </c>
      <c r="G929" s="1"/>
      <c r="H929" s="2">
        <v>1000</v>
      </c>
      <c r="I929" s="2">
        <v>50</v>
      </c>
      <c r="J929" s="1" t="s">
        <v>3791</v>
      </c>
      <c r="K929" s="2">
        <v>50</v>
      </c>
      <c r="L929" s="1" t="s">
        <v>51</v>
      </c>
      <c r="M929" s="1" t="s">
        <v>159</v>
      </c>
      <c r="N929" s="1" t="s">
        <v>160</v>
      </c>
      <c r="O929" s="1" t="s">
        <v>587</v>
      </c>
      <c r="P929" s="1" t="s">
        <v>153</v>
      </c>
      <c r="Q929" s="1" t="s">
        <v>153</v>
      </c>
      <c r="R929" s="1" t="s">
        <v>188</v>
      </c>
      <c r="S929" s="1" t="s">
        <v>71</v>
      </c>
      <c r="T929" s="3" t="str">
        <f>Sheet4!H929</f>
        <v xml:space="preserve"> View Map </v>
      </c>
    </row>
    <row r="930" spans="1:20" ht="15" x14ac:dyDescent="0.25">
      <c r="A930" s="1" t="s">
        <v>3792</v>
      </c>
      <c r="B930" s="1" t="s">
        <v>3793</v>
      </c>
      <c r="C930" s="2">
        <v>2018</v>
      </c>
      <c r="D930" s="1" t="s">
        <v>24</v>
      </c>
      <c r="E930" s="2">
        <v>1</v>
      </c>
      <c r="F930" s="1" t="s">
        <v>3498</v>
      </c>
      <c r="G930" s="1"/>
      <c r="H930" s="2">
        <v>0</v>
      </c>
      <c r="I930" s="2">
        <v>20000</v>
      </c>
      <c r="J930" s="1" t="s">
        <v>3794</v>
      </c>
      <c r="K930" s="2">
        <v>20000</v>
      </c>
      <c r="L930" s="1" t="s">
        <v>51</v>
      </c>
      <c r="M930" s="1" t="s">
        <v>28</v>
      </c>
      <c r="N930" s="1" t="s">
        <v>53</v>
      </c>
      <c r="O930" s="1" t="s">
        <v>338</v>
      </c>
      <c r="P930" s="1" t="s">
        <v>45</v>
      </c>
      <c r="Q930" s="1" t="s">
        <v>332</v>
      </c>
      <c r="R930" s="1" t="s">
        <v>28</v>
      </c>
      <c r="S930" s="1" t="s">
        <v>71</v>
      </c>
      <c r="T930" s="3" t="str">
        <f>Sheet4!H930</f>
        <v xml:space="preserve"> View Map </v>
      </c>
    </row>
    <row r="931" spans="1:20" ht="15" x14ac:dyDescent="0.25">
      <c r="A931" s="1" t="s">
        <v>3795</v>
      </c>
      <c r="B931" s="1" t="s">
        <v>3796</v>
      </c>
      <c r="C931" s="2">
        <v>2014</v>
      </c>
      <c r="D931" s="1" t="s">
        <v>24</v>
      </c>
      <c r="E931" s="2">
        <v>1</v>
      </c>
      <c r="F931" s="1" t="s">
        <v>3249</v>
      </c>
      <c r="G931" s="1"/>
      <c r="H931" s="2">
        <v>0</v>
      </c>
      <c r="I931" s="2">
        <v>30000</v>
      </c>
      <c r="J931" s="1" t="s">
        <v>3797</v>
      </c>
      <c r="K931" s="2">
        <v>16000</v>
      </c>
      <c r="L931" s="1" t="s">
        <v>51</v>
      </c>
      <c r="M931" s="1" t="s">
        <v>28</v>
      </c>
      <c r="N931" s="1" t="s">
        <v>53</v>
      </c>
      <c r="O931" s="1" t="s">
        <v>338</v>
      </c>
      <c r="P931" s="1" t="s">
        <v>45</v>
      </c>
      <c r="Q931" s="1" t="s">
        <v>332</v>
      </c>
      <c r="R931" s="1" t="s">
        <v>28</v>
      </c>
      <c r="S931" s="1" t="s">
        <v>71</v>
      </c>
      <c r="T931" s="3" t="str">
        <f>Sheet4!H931</f>
        <v xml:space="preserve"> View Map </v>
      </c>
    </row>
    <row r="932" spans="1:20" ht="15" x14ac:dyDescent="0.25">
      <c r="A932" s="1" t="s">
        <v>3798</v>
      </c>
      <c r="B932" s="1" t="s">
        <v>3799</v>
      </c>
      <c r="C932" s="2">
        <v>2016</v>
      </c>
      <c r="D932" s="1" t="s">
        <v>24</v>
      </c>
      <c r="E932" s="2">
        <v>1</v>
      </c>
      <c r="F932" s="1" t="s">
        <v>3800</v>
      </c>
      <c r="G932" s="1"/>
      <c r="H932" s="2">
        <v>0</v>
      </c>
      <c r="I932" s="2">
        <v>31000</v>
      </c>
      <c r="J932" s="1" t="s">
        <v>3801</v>
      </c>
      <c r="K932" s="2">
        <v>31000</v>
      </c>
      <c r="L932" s="1" t="s">
        <v>51</v>
      </c>
      <c r="M932" s="1" t="s">
        <v>28</v>
      </c>
      <c r="N932" s="1" t="s">
        <v>53</v>
      </c>
      <c r="O932" s="1" t="s">
        <v>338</v>
      </c>
      <c r="P932" s="1" t="s">
        <v>45</v>
      </c>
      <c r="Q932" s="1" t="s">
        <v>332</v>
      </c>
      <c r="R932" s="1" t="s">
        <v>28</v>
      </c>
      <c r="S932" s="1" t="s">
        <v>71</v>
      </c>
      <c r="T932" s="3" t="str">
        <f>Sheet4!H932</f>
        <v xml:space="preserve"> View Map </v>
      </c>
    </row>
    <row r="933" spans="1:20" ht="15" x14ac:dyDescent="0.25">
      <c r="A933" s="1" t="s">
        <v>3802</v>
      </c>
      <c r="B933" s="1" t="s">
        <v>3803</v>
      </c>
      <c r="C933" s="2">
        <v>2018</v>
      </c>
      <c r="D933" s="1" t="s">
        <v>24</v>
      </c>
      <c r="E933" s="2">
        <v>0</v>
      </c>
      <c r="F933" s="1" t="s">
        <v>3804</v>
      </c>
      <c r="G933" s="1"/>
      <c r="H933" s="2">
        <v>0</v>
      </c>
      <c r="I933" s="2">
        <v>5500</v>
      </c>
      <c r="J933" s="1" t="s">
        <v>3805</v>
      </c>
      <c r="K933" s="1" t="s">
        <v>28</v>
      </c>
      <c r="L933" s="1" t="s">
        <v>68</v>
      </c>
      <c r="M933" s="1" t="s">
        <v>69</v>
      </c>
      <c r="N933" s="1" t="s">
        <v>275</v>
      </c>
      <c r="O933" s="1" t="s">
        <v>3806</v>
      </c>
      <c r="P933" s="1" t="s">
        <v>275</v>
      </c>
      <c r="Q933" s="1" t="s">
        <v>276</v>
      </c>
      <c r="R933" s="1" t="s">
        <v>28</v>
      </c>
      <c r="S933" s="1" t="s">
        <v>71</v>
      </c>
      <c r="T933" s="3" t="str">
        <f>Sheet4!H933</f>
        <v xml:space="preserve"> View Map </v>
      </c>
    </row>
    <row r="934" spans="1:20" ht="15" x14ac:dyDescent="0.25">
      <c r="A934" s="1" t="s">
        <v>3807</v>
      </c>
      <c r="B934" s="1" t="s">
        <v>3808</v>
      </c>
      <c r="C934" s="2">
        <v>2018</v>
      </c>
      <c r="D934" s="1" t="s">
        <v>24</v>
      </c>
      <c r="E934" s="2">
        <v>1</v>
      </c>
      <c r="F934" s="1" t="s">
        <v>3809</v>
      </c>
      <c r="G934" s="1"/>
      <c r="H934" s="2">
        <v>0</v>
      </c>
      <c r="I934" s="2">
        <v>24000</v>
      </c>
      <c r="J934" s="1" t="s">
        <v>3810</v>
      </c>
      <c r="K934" s="2">
        <v>24000</v>
      </c>
      <c r="L934" s="1" t="s">
        <v>51</v>
      </c>
      <c r="M934" s="1" t="s">
        <v>28</v>
      </c>
      <c r="N934" s="1" t="s">
        <v>53</v>
      </c>
      <c r="O934" s="1" t="s">
        <v>338</v>
      </c>
      <c r="P934" s="1" t="s">
        <v>45</v>
      </c>
      <c r="Q934" s="1" t="s">
        <v>332</v>
      </c>
      <c r="R934" s="1" t="s">
        <v>28</v>
      </c>
      <c r="S934" s="1" t="s">
        <v>71</v>
      </c>
      <c r="T934" s="3" t="str">
        <f>Sheet4!H934</f>
        <v xml:space="preserve"> View Map </v>
      </c>
    </row>
    <row r="935" spans="1:20" ht="15" x14ac:dyDescent="0.25">
      <c r="A935" s="1" t="s">
        <v>3811</v>
      </c>
      <c r="B935" s="1" t="s">
        <v>3812</v>
      </c>
      <c r="C935" s="2">
        <v>2018</v>
      </c>
      <c r="D935" s="1" t="s">
        <v>24</v>
      </c>
      <c r="E935" s="2">
        <v>1</v>
      </c>
      <c r="F935" s="1" t="s">
        <v>3249</v>
      </c>
      <c r="G935" s="1"/>
      <c r="H935" s="2">
        <v>1250</v>
      </c>
      <c r="I935" s="2">
        <v>15600</v>
      </c>
      <c r="J935" s="1" t="s">
        <v>3813</v>
      </c>
      <c r="K935" s="2">
        <v>15600</v>
      </c>
      <c r="L935" s="1" t="s">
        <v>51</v>
      </c>
      <c r="M935" s="1" t="s">
        <v>28</v>
      </c>
      <c r="N935" s="1" t="s">
        <v>53</v>
      </c>
      <c r="O935" s="1" t="s">
        <v>338</v>
      </c>
      <c r="P935" s="1" t="s">
        <v>45</v>
      </c>
      <c r="Q935" s="1" t="s">
        <v>332</v>
      </c>
      <c r="R935" s="1" t="s">
        <v>28</v>
      </c>
      <c r="S935" s="1" t="s">
        <v>71</v>
      </c>
      <c r="T935" s="3" t="str">
        <f>Sheet4!H935</f>
        <v xml:space="preserve"> View Map </v>
      </c>
    </row>
    <row r="936" spans="1:20" ht="15" x14ac:dyDescent="0.25">
      <c r="A936" s="1" t="s">
        <v>3814</v>
      </c>
      <c r="B936" s="1" t="s">
        <v>3815</v>
      </c>
      <c r="C936" s="2">
        <v>2018</v>
      </c>
      <c r="D936" s="1" t="s">
        <v>24</v>
      </c>
      <c r="E936" s="2">
        <v>1</v>
      </c>
      <c r="F936" s="1" t="s">
        <v>3816</v>
      </c>
      <c r="G936" s="1"/>
      <c r="H936" s="2">
        <v>1700</v>
      </c>
      <c r="I936" s="2">
        <v>20000</v>
      </c>
      <c r="J936" s="1" t="s">
        <v>3817</v>
      </c>
      <c r="K936" s="2">
        <v>20000</v>
      </c>
      <c r="L936" s="1" t="s">
        <v>51</v>
      </c>
      <c r="M936" s="1" t="s">
        <v>28</v>
      </c>
      <c r="N936" s="1" t="s">
        <v>53</v>
      </c>
      <c r="O936" s="1" t="s">
        <v>338</v>
      </c>
      <c r="P936" s="1" t="s">
        <v>45</v>
      </c>
      <c r="Q936" s="1" t="s">
        <v>332</v>
      </c>
      <c r="R936" s="1" t="s">
        <v>28</v>
      </c>
      <c r="S936" s="1" t="s">
        <v>71</v>
      </c>
      <c r="T936" s="3" t="str">
        <f>Sheet4!H936</f>
        <v xml:space="preserve"> View Map </v>
      </c>
    </row>
    <row r="937" spans="1:20" ht="15" x14ac:dyDescent="0.25">
      <c r="A937" s="1" t="s">
        <v>3818</v>
      </c>
      <c r="B937" s="1" t="s">
        <v>3819</v>
      </c>
      <c r="C937" s="2">
        <v>2010</v>
      </c>
      <c r="D937" s="1" t="s">
        <v>24</v>
      </c>
      <c r="E937" s="2">
        <v>1</v>
      </c>
      <c r="F937" s="1" t="s">
        <v>3820</v>
      </c>
      <c r="G937" s="1"/>
      <c r="H937" s="2">
        <v>610</v>
      </c>
      <c r="I937" s="2">
        <v>15000</v>
      </c>
      <c r="J937" s="1" t="s">
        <v>3821</v>
      </c>
      <c r="K937" s="2">
        <v>15000</v>
      </c>
      <c r="L937" s="1" t="s">
        <v>51</v>
      </c>
      <c r="M937" s="1" t="s">
        <v>28</v>
      </c>
      <c r="N937" s="1" t="s">
        <v>53</v>
      </c>
      <c r="O937" s="1" t="s">
        <v>3822</v>
      </c>
      <c r="P937" s="1" t="s">
        <v>45</v>
      </c>
      <c r="Q937" s="1" t="s">
        <v>332</v>
      </c>
      <c r="R937" s="1" t="s">
        <v>28</v>
      </c>
      <c r="S937" s="1" t="s">
        <v>71</v>
      </c>
      <c r="T937" s="3" t="str">
        <f>Sheet4!H937</f>
        <v xml:space="preserve"> View Map </v>
      </c>
    </row>
    <row r="938" spans="1:20" ht="15" x14ac:dyDescent="0.25">
      <c r="A938" s="1" t="s">
        <v>3823</v>
      </c>
      <c r="B938" s="1" t="s">
        <v>3824</v>
      </c>
      <c r="C938" s="2">
        <v>2017</v>
      </c>
      <c r="D938" s="1" t="s">
        <v>24</v>
      </c>
      <c r="E938" s="2">
        <v>1</v>
      </c>
      <c r="F938" s="1" t="s">
        <v>3825</v>
      </c>
      <c r="G938" s="1"/>
      <c r="H938" s="2">
        <v>1600</v>
      </c>
      <c r="I938" s="2">
        <v>47000</v>
      </c>
      <c r="J938" s="1" t="s">
        <v>3826</v>
      </c>
      <c r="K938" s="2">
        <v>47000</v>
      </c>
      <c r="L938" s="1" t="s">
        <v>51</v>
      </c>
      <c r="M938" s="1" t="s">
        <v>28</v>
      </c>
      <c r="N938" s="1" t="s">
        <v>53</v>
      </c>
      <c r="O938" s="1" t="s">
        <v>338</v>
      </c>
      <c r="P938" s="1" t="s">
        <v>45</v>
      </c>
      <c r="Q938" s="1" t="s">
        <v>332</v>
      </c>
      <c r="R938" s="1" t="s">
        <v>28</v>
      </c>
      <c r="S938" s="1" t="s">
        <v>71</v>
      </c>
      <c r="T938" s="3" t="str">
        <f>Sheet4!H938</f>
        <v xml:space="preserve"> View Map </v>
      </c>
    </row>
    <row r="939" spans="1:20" ht="15" x14ac:dyDescent="0.25">
      <c r="A939" s="1" t="s">
        <v>3827</v>
      </c>
      <c r="B939" s="1" t="s">
        <v>3828</v>
      </c>
      <c r="C939" s="2">
        <v>2018</v>
      </c>
      <c r="D939" s="1" t="s">
        <v>24</v>
      </c>
      <c r="E939" s="2">
        <v>1</v>
      </c>
      <c r="F939" s="1" t="s">
        <v>3249</v>
      </c>
      <c r="G939" s="1"/>
      <c r="H939" s="2">
        <v>0</v>
      </c>
      <c r="I939" s="2">
        <v>10000</v>
      </c>
      <c r="J939" s="1" t="s">
        <v>3829</v>
      </c>
      <c r="K939" s="2">
        <v>10000</v>
      </c>
      <c r="L939" s="1" t="s">
        <v>51</v>
      </c>
      <c r="M939" s="1" t="s">
        <v>28</v>
      </c>
      <c r="N939" s="1" t="s">
        <v>53</v>
      </c>
      <c r="O939" s="1" t="s">
        <v>338</v>
      </c>
      <c r="P939" s="1" t="s">
        <v>45</v>
      </c>
      <c r="Q939" s="1" t="s">
        <v>332</v>
      </c>
      <c r="R939" s="1" t="s">
        <v>28</v>
      </c>
      <c r="S939" s="1" t="s">
        <v>71</v>
      </c>
      <c r="T939" s="3" t="str">
        <f>Sheet4!H939</f>
        <v xml:space="preserve"> View Map </v>
      </c>
    </row>
    <row r="940" spans="1:20" ht="15" x14ac:dyDescent="0.25">
      <c r="A940" s="1" t="s">
        <v>3830</v>
      </c>
      <c r="B940" s="1" t="s">
        <v>3831</v>
      </c>
      <c r="C940" s="2">
        <v>2018</v>
      </c>
      <c r="D940" s="1" t="s">
        <v>24</v>
      </c>
      <c r="E940" s="2">
        <v>1</v>
      </c>
      <c r="F940" s="1" t="s">
        <v>3832</v>
      </c>
      <c r="G940" s="1"/>
      <c r="H940" s="2">
        <v>524</v>
      </c>
      <c r="I940" s="2">
        <v>16000</v>
      </c>
      <c r="J940" s="1" t="s">
        <v>3833</v>
      </c>
      <c r="K940" s="2">
        <v>16000</v>
      </c>
      <c r="L940" s="1" t="s">
        <v>51</v>
      </c>
      <c r="M940" s="1" t="s">
        <v>52</v>
      </c>
      <c r="N940" s="1" t="s">
        <v>53</v>
      </c>
      <c r="O940" s="1" t="s">
        <v>338</v>
      </c>
      <c r="P940" s="1" t="s">
        <v>45</v>
      </c>
      <c r="Q940" s="1" t="s">
        <v>332</v>
      </c>
      <c r="R940" s="1" t="s">
        <v>105</v>
      </c>
      <c r="S940" s="1" t="s">
        <v>71</v>
      </c>
      <c r="T940" s="3" t="str">
        <f>Sheet4!H940</f>
        <v xml:space="preserve"> View Map </v>
      </c>
    </row>
    <row r="941" spans="1:20" ht="15" x14ac:dyDescent="0.25">
      <c r="A941" s="1" t="s">
        <v>3834</v>
      </c>
      <c r="B941" s="1" t="s">
        <v>3835</v>
      </c>
      <c r="C941" s="2">
        <v>2008</v>
      </c>
      <c r="D941" s="1" t="s">
        <v>24</v>
      </c>
      <c r="E941" s="2">
        <v>1</v>
      </c>
      <c r="F941" s="1" t="s">
        <v>3836</v>
      </c>
      <c r="G941" s="1"/>
      <c r="H941" s="2">
        <v>525</v>
      </c>
      <c r="I941" s="2">
        <v>19000</v>
      </c>
      <c r="J941" s="1" t="s">
        <v>3837</v>
      </c>
      <c r="K941" s="2">
        <v>19000</v>
      </c>
      <c r="L941" s="1" t="s">
        <v>51</v>
      </c>
      <c r="M941" s="1" t="s">
        <v>28</v>
      </c>
      <c r="N941" s="1" t="s">
        <v>53</v>
      </c>
      <c r="O941" s="1" t="s">
        <v>338</v>
      </c>
      <c r="P941" s="1" t="s">
        <v>45</v>
      </c>
      <c r="Q941" s="1" t="s">
        <v>332</v>
      </c>
      <c r="R941" s="1" t="s">
        <v>28</v>
      </c>
      <c r="S941" s="1" t="s">
        <v>71</v>
      </c>
      <c r="T941" s="3" t="str">
        <f>Sheet4!H941</f>
        <v xml:space="preserve"> View Map </v>
      </c>
    </row>
    <row r="942" spans="1:20" ht="15" x14ac:dyDescent="0.25">
      <c r="A942" s="1" t="s">
        <v>3838</v>
      </c>
      <c r="B942" s="1" t="s">
        <v>3839</v>
      </c>
      <c r="C942" s="2">
        <v>2018</v>
      </c>
      <c r="D942" s="1" t="s">
        <v>24</v>
      </c>
      <c r="E942" s="2">
        <v>1</v>
      </c>
      <c r="F942" s="1" t="s">
        <v>3840</v>
      </c>
      <c r="G942" s="1"/>
      <c r="H942" s="2">
        <v>0</v>
      </c>
      <c r="I942" s="2">
        <v>16000</v>
      </c>
      <c r="J942" s="1" t="s">
        <v>3841</v>
      </c>
      <c r="K942" s="1" t="s">
        <v>28</v>
      </c>
      <c r="L942" s="1" t="s">
        <v>68</v>
      </c>
      <c r="M942" s="1" t="s">
        <v>69</v>
      </c>
      <c r="N942" s="1" t="s">
        <v>275</v>
      </c>
      <c r="O942" s="1" t="s">
        <v>3842</v>
      </c>
      <c r="P942" s="1" t="s">
        <v>275</v>
      </c>
      <c r="Q942" s="1" t="s">
        <v>275</v>
      </c>
      <c r="R942" s="1" t="s">
        <v>275</v>
      </c>
      <c r="S942" s="1" t="s">
        <v>71</v>
      </c>
      <c r="T942" s="3" t="str">
        <f>Sheet4!H942</f>
        <v xml:space="preserve"> View Map </v>
      </c>
    </row>
    <row r="943" spans="1:20" ht="15" x14ac:dyDescent="0.25">
      <c r="A943" s="1" t="s">
        <v>3843</v>
      </c>
      <c r="B943" s="1" t="s">
        <v>3844</v>
      </c>
      <c r="C943" s="2">
        <v>2018</v>
      </c>
      <c r="D943" s="1" t="s">
        <v>24</v>
      </c>
      <c r="E943" s="2">
        <v>1</v>
      </c>
      <c r="F943" s="1" t="s">
        <v>3840</v>
      </c>
      <c r="G943" s="1"/>
      <c r="H943" s="2">
        <v>0</v>
      </c>
      <c r="I943" s="2">
        <v>20000</v>
      </c>
      <c r="J943" s="1" t="s">
        <v>3845</v>
      </c>
      <c r="K943" s="1" t="s">
        <v>28</v>
      </c>
      <c r="L943" s="1" t="s">
        <v>68</v>
      </c>
      <c r="M943" s="1" t="s">
        <v>28</v>
      </c>
      <c r="N943" s="1" t="s">
        <v>275</v>
      </c>
      <c r="O943" s="1" t="s">
        <v>3842</v>
      </c>
      <c r="P943" s="1" t="s">
        <v>275</v>
      </c>
      <c r="Q943" s="1" t="s">
        <v>275</v>
      </c>
      <c r="R943" s="1" t="s">
        <v>28</v>
      </c>
      <c r="S943" s="1" t="s">
        <v>71</v>
      </c>
      <c r="T943" s="3" t="str">
        <f>Sheet4!H943</f>
        <v xml:space="preserve"> View Map </v>
      </c>
    </row>
    <row r="944" spans="1:20" ht="15" x14ac:dyDescent="0.25">
      <c r="A944" s="1" t="s">
        <v>3846</v>
      </c>
      <c r="B944" s="1" t="s">
        <v>3847</v>
      </c>
      <c r="C944" s="2">
        <v>2024</v>
      </c>
      <c r="D944" s="1" t="s">
        <v>24</v>
      </c>
      <c r="E944" s="2">
        <v>1</v>
      </c>
      <c r="F944" s="1" t="s">
        <v>3249</v>
      </c>
      <c r="G944" s="1"/>
      <c r="H944" s="2">
        <v>0</v>
      </c>
      <c r="I944" s="2">
        <v>10000</v>
      </c>
      <c r="J944" s="1" t="s">
        <v>3848</v>
      </c>
      <c r="K944" s="2">
        <v>10000</v>
      </c>
      <c r="L944" s="1" t="s">
        <v>51</v>
      </c>
      <c r="M944" s="1" t="s">
        <v>52</v>
      </c>
      <c r="N944" s="1" t="s">
        <v>53</v>
      </c>
      <c r="O944" s="1" t="s">
        <v>338</v>
      </c>
      <c r="P944" s="1" t="s">
        <v>45</v>
      </c>
      <c r="Q944" s="1" t="s">
        <v>332</v>
      </c>
      <c r="R944" s="1" t="s">
        <v>55</v>
      </c>
      <c r="S944" s="1" t="s">
        <v>71</v>
      </c>
      <c r="T944" s="3" t="str">
        <f>Sheet4!H944</f>
        <v xml:space="preserve"> View Map </v>
      </c>
    </row>
    <row r="945" spans="1:20" ht="15" x14ac:dyDescent="0.25">
      <c r="A945" s="1" t="s">
        <v>3849</v>
      </c>
      <c r="B945" s="1" t="s">
        <v>3850</v>
      </c>
      <c r="C945" s="2">
        <v>2018</v>
      </c>
      <c r="D945" s="1" t="s">
        <v>24</v>
      </c>
      <c r="E945" s="2">
        <v>1</v>
      </c>
      <c r="F945" s="1" t="s">
        <v>3249</v>
      </c>
      <c r="G945" s="1"/>
      <c r="H945" s="2">
        <v>0</v>
      </c>
      <c r="I945" s="2">
        <v>26000</v>
      </c>
      <c r="J945" s="1" t="s">
        <v>3851</v>
      </c>
      <c r="K945" s="2">
        <v>26000</v>
      </c>
      <c r="L945" s="1" t="s">
        <v>51</v>
      </c>
      <c r="M945" s="1" t="s">
        <v>28</v>
      </c>
      <c r="N945" s="1" t="s">
        <v>53</v>
      </c>
      <c r="O945" s="1" t="s">
        <v>338</v>
      </c>
      <c r="P945" s="1" t="s">
        <v>45</v>
      </c>
      <c r="Q945" s="1" t="s">
        <v>332</v>
      </c>
      <c r="R945" s="1" t="s">
        <v>28</v>
      </c>
      <c r="S945" s="1" t="s">
        <v>71</v>
      </c>
      <c r="T945" s="3" t="str">
        <f>Sheet4!H945</f>
        <v xml:space="preserve"> View Map </v>
      </c>
    </row>
    <row r="946" spans="1:20" ht="15" x14ac:dyDescent="0.25">
      <c r="A946" s="1" t="s">
        <v>3852</v>
      </c>
      <c r="B946" s="1" t="s">
        <v>3853</v>
      </c>
      <c r="C946" s="2">
        <v>2019</v>
      </c>
      <c r="D946" s="1" t="s">
        <v>24</v>
      </c>
      <c r="E946" s="2">
        <v>1</v>
      </c>
      <c r="F946" s="1" t="s">
        <v>3854</v>
      </c>
      <c r="G946" s="1"/>
      <c r="H946" s="2">
        <v>0</v>
      </c>
      <c r="I946" s="2">
        <v>35000</v>
      </c>
      <c r="J946" s="1" t="s">
        <v>3855</v>
      </c>
      <c r="K946" s="2">
        <v>35000</v>
      </c>
      <c r="L946" s="1" t="s">
        <v>68</v>
      </c>
      <c r="M946" s="1" t="s">
        <v>69</v>
      </c>
      <c r="N946" s="1" t="s">
        <v>322</v>
      </c>
      <c r="O946" s="1" t="s">
        <v>3856</v>
      </c>
      <c r="P946" s="1" t="s">
        <v>45</v>
      </c>
      <c r="Q946" s="1" t="s">
        <v>122</v>
      </c>
      <c r="R946" s="1" t="s">
        <v>322</v>
      </c>
      <c r="S946" s="1" t="s">
        <v>71</v>
      </c>
      <c r="T946" s="3" t="str">
        <f>Sheet4!H946</f>
        <v xml:space="preserve"> View Map </v>
      </c>
    </row>
    <row r="947" spans="1:20" ht="15" x14ac:dyDescent="0.25">
      <c r="A947" s="1" t="s">
        <v>3857</v>
      </c>
      <c r="B947" s="1" t="s">
        <v>3858</v>
      </c>
      <c r="C947" s="2">
        <v>2024</v>
      </c>
      <c r="D947" s="1" t="s">
        <v>24</v>
      </c>
      <c r="E947" s="2">
        <v>1</v>
      </c>
      <c r="F947" s="1" t="s">
        <v>3249</v>
      </c>
      <c r="G947" s="1"/>
      <c r="H947" s="2">
        <v>0</v>
      </c>
      <c r="I947" s="2">
        <v>97800</v>
      </c>
      <c r="J947" s="1" t="s">
        <v>3859</v>
      </c>
      <c r="K947" s="2">
        <v>97800</v>
      </c>
      <c r="L947" s="1" t="s">
        <v>51</v>
      </c>
      <c r="M947" s="1" t="s">
        <v>52</v>
      </c>
      <c r="N947" s="1" t="s">
        <v>53</v>
      </c>
      <c r="O947" s="1" t="s">
        <v>338</v>
      </c>
      <c r="P947" s="1" t="s">
        <v>45</v>
      </c>
      <c r="Q947" s="1" t="s">
        <v>332</v>
      </c>
      <c r="R947" s="1" t="s">
        <v>28</v>
      </c>
      <c r="S947" s="1" t="s">
        <v>71</v>
      </c>
      <c r="T947" s="3" t="str">
        <f>Sheet4!H947</f>
        <v xml:space="preserve"> View Map </v>
      </c>
    </row>
    <row r="948" spans="1:20" ht="15" x14ac:dyDescent="0.25">
      <c r="A948" s="1" t="s">
        <v>3860</v>
      </c>
      <c r="B948" s="1" t="s">
        <v>3861</v>
      </c>
      <c r="C948" s="2">
        <v>2023</v>
      </c>
      <c r="D948" s="1" t="s">
        <v>24</v>
      </c>
      <c r="E948" s="2">
        <v>1</v>
      </c>
      <c r="F948" s="1" t="s">
        <v>3397</v>
      </c>
      <c r="G948" s="1"/>
      <c r="H948" s="2">
        <v>0</v>
      </c>
      <c r="I948" s="2">
        <v>19200</v>
      </c>
      <c r="J948" s="1" t="s">
        <v>3862</v>
      </c>
      <c r="K948" s="1" t="s">
        <v>28</v>
      </c>
      <c r="L948" s="1" t="s">
        <v>68</v>
      </c>
      <c r="M948" s="1" t="s">
        <v>69</v>
      </c>
      <c r="N948" s="1" t="s">
        <v>275</v>
      </c>
      <c r="O948" s="1" t="s">
        <v>1077</v>
      </c>
      <c r="P948" s="1" t="s">
        <v>304</v>
      </c>
      <c r="Q948" s="1" t="s">
        <v>386</v>
      </c>
      <c r="R948" s="1" t="s">
        <v>275</v>
      </c>
      <c r="S948" s="1" t="s">
        <v>71</v>
      </c>
      <c r="T948" s="3" t="str">
        <f>Sheet4!H948</f>
        <v xml:space="preserve"> View Map </v>
      </c>
    </row>
    <row r="949" spans="1:20" ht="15" x14ac:dyDescent="0.25">
      <c r="A949" s="1" t="s">
        <v>3863</v>
      </c>
      <c r="B949" s="1" t="s">
        <v>3864</v>
      </c>
      <c r="C949" s="2">
        <v>2019</v>
      </c>
      <c r="D949" s="1" t="s">
        <v>24</v>
      </c>
      <c r="E949" s="2">
        <v>1</v>
      </c>
      <c r="F949" s="1" t="s">
        <v>3730</v>
      </c>
      <c r="G949" s="1"/>
      <c r="H949" s="2">
        <v>0</v>
      </c>
      <c r="I949" s="2">
        <v>80000</v>
      </c>
      <c r="J949" s="1" t="s">
        <v>3865</v>
      </c>
      <c r="K949" s="2">
        <v>80000</v>
      </c>
      <c r="L949" s="1" t="s">
        <v>68</v>
      </c>
      <c r="M949" s="1" t="s">
        <v>69</v>
      </c>
      <c r="N949" s="1" t="s">
        <v>53</v>
      </c>
      <c r="O949" s="1" t="s">
        <v>338</v>
      </c>
      <c r="P949" s="1" t="s">
        <v>45</v>
      </c>
      <c r="Q949" s="1" t="s">
        <v>332</v>
      </c>
      <c r="R949" s="1" t="s">
        <v>105</v>
      </c>
      <c r="S949" s="1" t="s">
        <v>71</v>
      </c>
      <c r="T949" s="3" t="str">
        <f>Sheet4!H949</f>
        <v xml:space="preserve"> View Map </v>
      </c>
    </row>
    <row r="950" spans="1:20" ht="15" x14ac:dyDescent="0.25">
      <c r="A950" s="1" t="s">
        <v>3866</v>
      </c>
      <c r="B950" s="1" t="s">
        <v>3867</v>
      </c>
      <c r="C950" s="2">
        <v>2019</v>
      </c>
      <c r="D950" s="1" t="s">
        <v>24</v>
      </c>
      <c r="E950" s="2">
        <v>1</v>
      </c>
      <c r="F950" s="1" t="s">
        <v>3868</v>
      </c>
      <c r="G950" s="1"/>
      <c r="H950" s="2">
        <v>0</v>
      </c>
      <c r="I950" s="2">
        <v>100000</v>
      </c>
      <c r="J950" s="1" t="s">
        <v>3869</v>
      </c>
      <c r="K950" s="1" t="s">
        <v>28</v>
      </c>
      <c r="L950" s="1" t="s">
        <v>68</v>
      </c>
      <c r="M950" s="1" t="s">
        <v>69</v>
      </c>
      <c r="N950" s="1" t="s">
        <v>72</v>
      </c>
      <c r="O950" s="1" t="s">
        <v>2106</v>
      </c>
      <c r="P950" s="1" t="s">
        <v>72</v>
      </c>
      <c r="Q950" s="1" t="s">
        <v>811</v>
      </c>
      <c r="R950" s="1" t="s">
        <v>72</v>
      </c>
      <c r="S950" s="1" t="s">
        <v>71</v>
      </c>
      <c r="T950" s="3" t="str">
        <f>Sheet4!H950</f>
        <v xml:space="preserve"> View Map </v>
      </c>
    </row>
    <row r="951" spans="1:20" ht="15" x14ac:dyDescent="0.25">
      <c r="A951" s="1" t="s">
        <v>3870</v>
      </c>
      <c r="B951" s="1" t="s">
        <v>3871</v>
      </c>
      <c r="C951" s="2">
        <v>2019</v>
      </c>
      <c r="D951" s="1" t="s">
        <v>24</v>
      </c>
      <c r="E951" s="2">
        <v>1</v>
      </c>
      <c r="F951" s="1" t="s">
        <v>3872</v>
      </c>
      <c r="G951" s="1"/>
      <c r="H951" s="2">
        <v>0</v>
      </c>
      <c r="I951" s="2">
        <v>80000</v>
      </c>
      <c r="J951" s="1" t="s">
        <v>3873</v>
      </c>
      <c r="K951" s="1" t="s">
        <v>28</v>
      </c>
      <c r="L951" s="1" t="s">
        <v>68</v>
      </c>
      <c r="M951" s="1" t="s">
        <v>69</v>
      </c>
      <c r="N951" s="1" t="s">
        <v>309</v>
      </c>
      <c r="O951" s="1" t="s">
        <v>2332</v>
      </c>
      <c r="P951" s="1" t="s">
        <v>304</v>
      </c>
      <c r="Q951" s="1" t="s">
        <v>305</v>
      </c>
      <c r="R951" s="1" t="s">
        <v>309</v>
      </c>
      <c r="S951" s="1" t="s">
        <v>71</v>
      </c>
      <c r="T951" s="3" t="str">
        <f>Sheet4!H951</f>
        <v xml:space="preserve"> View Map </v>
      </c>
    </row>
    <row r="952" spans="1:20" ht="15" x14ac:dyDescent="0.25">
      <c r="A952" s="1" t="s">
        <v>3874</v>
      </c>
      <c r="B952" s="1" t="s">
        <v>3875</v>
      </c>
      <c r="C952" s="2">
        <v>2019</v>
      </c>
      <c r="D952" s="1" t="s">
        <v>24</v>
      </c>
      <c r="E952" s="2">
        <v>1</v>
      </c>
      <c r="F952" s="1" t="s">
        <v>3876</v>
      </c>
      <c r="G952" s="1"/>
      <c r="H952" s="2">
        <v>0</v>
      </c>
      <c r="I952" s="2">
        <v>56000</v>
      </c>
      <c r="J952" s="1" t="s">
        <v>3877</v>
      </c>
      <c r="K952" s="2">
        <v>56000</v>
      </c>
      <c r="L952" s="1" t="s">
        <v>68</v>
      </c>
      <c r="M952" s="1" t="s">
        <v>69</v>
      </c>
      <c r="N952" s="1" t="s">
        <v>53</v>
      </c>
      <c r="O952" s="1" t="s">
        <v>338</v>
      </c>
      <c r="P952" s="1" t="s">
        <v>45</v>
      </c>
      <c r="Q952" s="1" t="s">
        <v>332</v>
      </c>
      <c r="R952" s="1" t="s">
        <v>105</v>
      </c>
      <c r="S952" s="1" t="s">
        <v>71</v>
      </c>
      <c r="T952" s="3" t="str">
        <f>Sheet4!H952</f>
        <v xml:space="preserve"> View Map </v>
      </c>
    </row>
    <row r="953" spans="1:20" ht="15" x14ac:dyDescent="0.25">
      <c r="A953" s="1" t="s">
        <v>3878</v>
      </c>
      <c r="B953" s="1" t="s">
        <v>3879</v>
      </c>
      <c r="C953" s="2">
        <v>2019</v>
      </c>
      <c r="D953" s="1" t="s">
        <v>24</v>
      </c>
      <c r="E953" s="2">
        <v>0</v>
      </c>
      <c r="F953" s="1" t="s">
        <v>3880</v>
      </c>
      <c r="G953" s="1"/>
      <c r="H953" s="2">
        <v>150</v>
      </c>
      <c r="I953" s="2">
        <v>18600</v>
      </c>
      <c r="J953" s="1" t="s">
        <v>3881</v>
      </c>
      <c r="K953" s="1" t="s">
        <v>28</v>
      </c>
      <c r="L953" s="1" t="s">
        <v>68</v>
      </c>
      <c r="M953" s="1" t="s">
        <v>69</v>
      </c>
      <c r="N953" s="1" t="s">
        <v>72</v>
      </c>
      <c r="O953" s="1" t="s">
        <v>3882</v>
      </c>
      <c r="P953" s="1" t="s">
        <v>72</v>
      </c>
      <c r="Q953" s="1" t="s">
        <v>811</v>
      </c>
      <c r="R953" s="1" t="s">
        <v>72</v>
      </c>
      <c r="S953" s="1" t="s">
        <v>71</v>
      </c>
      <c r="T953" s="3" t="str">
        <f>Sheet4!H953</f>
        <v xml:space="preserve"> View Map </v>
      </c>
    </row>
    <row r="954" spans="1:20" ht="15" x14ac:dyDescent="0.25">
      <c r="A954" s="1" t="s">
        <v>3883</v>
      </c>
      <c r="B954" s="1" t="s">
        <v>3884</v>
      </c>
      <c r="C954" s="2">
        <v>2024</v>
      </c>
      <c r="D954" s="1" t="s">
        <v>24</v>
      </c>
      <c r="E954" s="2">
        <v>1</v>
      </c>
      <c r="F954" s="1" t="s">
        <v>3885</v>
      </c>
      <c r="G954" s="1"/>
      <c r="H954" s="2">
        <v>0</v>
      </c>
      <c r="I954" s="2">
        <v>6800</v>
      </c>
      <c r="J954" s="1" t="s">
        <v>3886</v>
      </c>
      <c r="K954" s="1" t="s">
        <v>28</v>
      </c>
      <c r="L954" s="1" t="s">
        <v>68</v>
      </c>
      <c r="M954" s="1" t="s">
        <v>69</v>
      </c>
      <c r="N954" s="1" t="s">
        <v>275</v>
      </c>
      <c r="O954" s="1" t="s">
        <v>1833</v>
      </c>
      <c r="P954" s="1" t="s">
        <v>275</v>
      </c>
      <c r="Q954" s="1" t="s">
        <v>275</v>
      </c>
      <c r="R954" s="1" t="s">
        <v>275</v>
      </c>
      <c r="S954" s="1" t="s">
        <v>71</v>
      </c>
      <c r="T954" s="3" t="str">
        <f>Sheet4!H954</f>
        <v xml:space="preserve"> View Map </v>
      </c>
    </row>
    <row r="955" spans="1:20" ht="15" x14ac:dyDescent="0.25">
      <c r="A955" s="1" t="s">
        <v>3887</v>
      </c>
      <c r="B955" s="1" t="s">
        <v>3888</v>
      </c>
      <c r="C955" s="2">
        <v>2020</v>
      </c>
      <c r="D955" s="1" t="s">
        <v>24</v>
      </c>
      <c r="E955" s="2">
        <v>1</v>
      </c>
      <c r="F955" s="1" t="s">
        <v>3889</v>
      </c>
      <c r="G955" s="1"/>
      <c r="H955" s="2">
        <v>0</v>
      </c>
      <c r="I955" s="2">
        <v>5000</v>
      </c>
      <c r="J955" s="1" t="s">
        <v>3890</v>
      </c>
      <c r="K955" s="1" t="s">
        <v>28</v>
      </c>
      <c r="L955" s="1" t="s">
        <v>68</v>
      </c>
      <c r="M955" s="1" t="s">
        <v>69</v>
      </c>
      <c r="N955" s="1" t="s">
        <v>162</v>
      </c>
      <c r="O955" s="1" t="s">
        <v>374</v>
      </c>
      <c r="P955" s="1" t="s">
        <v>162</v>
      </c>
      <c r="Q955" s="1" t="s">
        <v>162</v>
      </c>
      <c r="R955" s="1" t="s">
        <v>28</v>
      </c>
      <c r="S955" s="1" t="s">
        <v>71</v>
      </c>
      <c r="T955" s="3" t="str">
        <f>Sheet4!H955</f>
        <v xml:space="preserve"> View Map </v>
      </c>
    </row>
    <row r="956" spans="1:20" ht="15" x14ac:dyDescent="0.25">
      <c r="A956" s="1" t="s">
        <v>3891</v>
      </c>
      <c r="B956" s="1" t="s">
        <v>3892</v>
      </c>
      <c r="C956" s="2">
        <v>2020</v>
      </c>
      <c r="D956" s="1" t="s">
        <v>24</v>
      </c>
      <c r="E956" s="2">
        <v>1</v>
      </c>
      <c r="F956" s="1" t="s">
        <v>2563</v>
      </c>
      <c r="G956" s="1"/>
      <c r="H956" s="2">
        <v>0</v>
      </c>
      <c r="I956" s="2">
        <v>10000</v>
      </c>
      <c r="J956" s="1" t="s">
        <v>3893</v>
      </c>
      <c r="K956" s="1" t="s">
        <v>28</v>
      </c>
      <c r="L956" s="1" t="s">
        <v>68</v>
      </c>
      <c r="M956" s="1" t="s">
        <v>69</v>
      </c>
      <c r="N956" s="1" t="s">
        <v>275</v>
      </c>
      <c r="O956" s="1" t="s">
        <v>1077</v>
      </c>
      <c r="P956" s="1" t="s">
        <v>304</v>
      </c>
      <c r="Q956" s="1" t="s">
        <v>386</v>
      </c>
      <c r="R956" s="1" t="s">
        <v>28</v>
      </c>
      <c r="S956" s="1" t="s">
        <v>71</v>
      </c>
      <c r="T956" s="3" t="str">
        <f>Sheet4!H956</f>
        <v xml:space="preserve"> View Map </v>
      </c>
    </row>
    <row r="957" spans="1:20" ht="15" x14ac:dyDescent="0.25">
      <c r="A957" s="1" t="s">
        <v>3894</v>
      </c>
      <c r="B957" s="1" t="s">
        <v>3895</v>
      </c>
      <c r="C957" s="2">
        <v>2020</v>
      </c>
      <c r="D957" s="1" t="s">
        <v>24</v>
      </c>
      <c r="E957" s="2">
        <v>1</v>
      </c>
      <c r="F957" s="1" t="s">
        <v>3896</v>
      </c>
      <c r="G957" s="1"/>
      <c r="H957" s="2">
        <v>0</v>
      </c>
      <c r="I957" s="2">
        <v>29200</v>
      </c>
      <c r="J957" s="1" t="s">
        <v>3897</v>
      </c>
      <c r="K957" s="1" t="s">
        <v>28</v>
      </c>
      <c r="L957" s="1" t="s">
        <v>51</v>
      </c>
      <c r="M957" s="1" t="s">
        <v>28</v>
      </c>
      <c r="N957" s="1" t="s">
        <v>53</v>
      </c>
      <c r="O957" s="1" t="s">
        <v>442</v>
      </c>
      <c r="P957" s="1" t="s">
        <v>45</v>
      </c>
      <c r="Q957" s="1" t="s">
        <v>146</v>
      </c>
      <c r="R957" s="1" t="s">
        <v>343</v>
      </c>
      <c r="S957" s="1" t="s">
        <v>71</v>
      </c>
      <c r="T957" s="3" t="str">
        <f>Sheet4!H957</f>
        <v xml:space="preserve"> View Map </v>
      </c>
    </row>
    <row r="958" spans="1:20" ht="15" x14ac:dyDescent="0.25">
      <c r="A958" s="1" t="s">
        <v>3898</v>
      </c>
      <c r="B958" s="1" t="s">
        <v>3899</v>
      </c>
      <c r="C958" s="2">
        <v>2020</v>
      </c>
      <c r="D958" s="1" t="s">
        <v>24</v>
      </c>
      <c r="E958" s="2">
        <v>1</v>
      </c>
      <c r="F958" s="1" t="s">
        <v>3900</v>
      </c>
      <c r="G958" s="1" t="s">
        <v>3901</v>
      </c>
      <c r="H958" s="2">
        <v>1400</v>
      </c>
      <c r="I958" s="2">
        <v>40000</v>
      </c>
      <c r="J958" s="1" t="s">
        <v>3902</v>
      </c>
      <c r="K958" s="1" t="s">
        <v>28</v>
      </c>
      <c r="L958" s="1" t="s">
        <v>29</v>
      </c>
      <c r="M958" s="1" t="s">
        <v>134</v>
      </c>
      <c r="N958" s="1" t="s">
        <v>160</v>
      </c>
      <c r="O958" s="1" t="s">
        <v>187</v>
      </c>
      <c r="P958" s="1" t="s">
        <v>153</v>
      </c>
      <c r="Q958" s="1" t="s">
        <v>184</v>
      </c>
      <c r="R958" s="1" t="s">
        <v>188</v>
      </c>
      <c r="S958" s="1" t="s">
        <v>71</v>
      </c>
      <c r="T958" s="3" t="str">
        <f>Sheet4!H958</f>
        <v xml:space="preserve"> View Map </v>
      </c>
    </row>
    <row r="959" spans="1:20" ht="15" x14ac:dyDescent="0.25">
      <c r="A959" s="1" t="s">
        <v>3903</v>
      </c>
      <c r="B959" s="1" t="s">
        <v>3854</v>
      </c>
      <c r="C959" s="2">
        <v>2020</v>
      </c>
      <c r="D959" s="1" t="s">
        <v>24</v>
      </c>
      <c r="E959" s="2">
        <v>1</v>
      </c>
      <c r="F959" s="1" t="s">
        <v>3904</v>
      </c>
      <c r="G959" s="1"/>
      <c r="H959" s="2">
        <v>0</v>
      </c>
      <c r="I959" s="2">
        <v>30000</v>
      </c>
      <c r="J959" s="1" t="s">
        <v>3905</v>
      </c>
      <c r="K959" s="1" t="s">
        <v>28</v>
      </c>
      <c r="L959" s="1" t="s">
        <v>68</v>
      </c>
      <c r="M959" s="1" t="s">
        <v>28</v>
      </c>
      <c r="N959" s="1" t="s">
        <v>322</v>
      </c>
      <c r="O959" s="1" t="s">
        <v>3856</v>
      </c>
      <c r="P959" s="1" t="s">
        <v>45</v>
      </c>
      <c r="Q959" s="1" t="s">
        <v>122</v>
      </c>
      <c r="R959" s="1" t="s">
        <v>28</v>
      </c>
      <c r="S959" s="1" t="s">
        <v>71</v>
      </c>
      <c r="T959" s="3" t="str">
        <f>Sheet4!H959</f>
        <v xml:space="preserve"> View Map </v>
      </c>
    </row>
    <row r="960" spans="1:20" ht="15" x14ac:dyDescent="0.25">
      <c r="A960" s="1" t="s">
        <v>3906</v>
      </c>
      <c r="B960" s="1" t="s">
        <v>3907</v>
      </c>
      <c r="C960" s="2">
        <v>2020</v>
      </c>
      <c r="D960" s="1" t="s">
        <v>24</v>
      </c>
      <c r="E960" s="2">
        <v>1</v>
      </c>
      <c r="F960" s="1" t="s">
        <v>3908</v>
      </c>
      <c r="G960" s="1"/>
      <c r="H960" s="2">
        <v>0</v>
      </c>
      <c r="I960" s="2">
        <v>450000</v>
      </c>
      <c r="J960" s="1" t="s">
        <v>3909</v>
      </c>
      <c r="K960" s="1" t="s">
        <v>28</v>
      </c>
      <c r="L960" s="1" t="s">
        <v>68</v>
      </c>
      <c r="M960" s="1" t="s">
        <v>28</v>
      </c>
      <c r="N960" s="1" t="s">
        <v>309</v>
      </c>
      <c r="O960" s="1" t="s">
        <v>1226</v>
      </c>
      <c r="P960" s="1" t="s">
        <v>304</v>
      </c>
      <c r="Q960" s="1" t="s">
        <v>432</v>
      </c>
      <c r="R960" s="1" t="s">
        <v>28</v>
      </c>
      <c r="S960" s="1" t="s">
        <v>71</v>
      </c>
      <c r="T960" s="3" t="str">
        <f>Sheet4!H960</f>
        <v xml:space="preserve"> View Map </v>
      </c>
    </row>
    <row r="961" spans="1:20" ht="15" x14ac:dyDescent="0.25">
      <c r="A961" s="1" t="s">
        <v>3910</v>
      </c>
      <c r="B961" s="1" t="s">
        <v>3911</v>
      </c>
      <c r="C961" s="2">
        <v>2021</v>
      </c>
      <c r="D961" s="1" t="s">
        <v>24</v>
      </c>
      <c r="E961" s="2">
        <v>1</v>
      </c>
      <c r="F961" s="1" t="s">
        <v>3912</v>
      </c>
      <c r="G961" s="1"/>
      <c r="H961" s="2">
        <v>600</v>
      </c>
      <c r="I961" s="2">
        <v>100</v>
      </c>
      <c r="J961" s="1" t="s">
        <v>3913</v>
      </c>
      <c r="K961" s="1" t="s">
        <v>28</v>
      </c>
      <c r="L961" s="1" t="s">
        <v>51</v>
      </c>
      <c r="M961" s="1" t="s">
        <v>28</v>
      </c>
      <c r="N961" s="1" t="s">
        <v>20</v>
      </c>
      <c r="O961" s="1" t="s">
        <v>254</v>
      </c>
      <c r="P961" s="1" t="s">
        <v>45</v>
      </c>
      <c r="Q961" s="1" t="s">
        <v>28</v>
      </c>
      <c r="R961" s="1" t="s">
        <v>20</v>
      </c>
      <c r="S961" s="1" t="s">
        <v>71</v>
      </c>
      <c r="T961" s="3" t="str">
        <f>Sheet4!H961</f>
        <v xml:space="preserve"> View Map </v>
      </c>
    </row>
    <row r="962" spans="1:20" ht="15" x14ac:dyDescent="0.25">
      <c r="A962" s="1" t="s">
        <v>3914</v>
      </c>
      <c r="B962" s="1" t="s">
        <v>3915</v>
      </c>
      <c r="C962" s="2">
        <v>2025</v>
      </c>
      <c r="D962" s="1" t="s">
        <v>24</v>
      </c>
      <c r="E962" s="2">
        <v>0</v>
      </c>
      <c r="F962" s="1" t="s">
        <v>2206</v>
      </c>
      <c r="G962" s="1"/>
      <c r="H962" s="2">
        <v>0</v>
      </c>
      <c r="I962" s="2">
        <v>6500</v>
      </c>
      <c r="J962" s="1" t="s">
        <v>3916</v>
      </c>
      <c r="K962" s="1" t="s">
        <v>28</v>
      </c>
      <c r="L962" s="1" t="s">
        <v>51</v>
      </c>
      <c r="M962" s="1" t="s">
        <v>52</v>
      </c>
      <c r="N962" s="1" t="s">
        <v>53</v>
      </c>
      <c r="O962" s="1" t="s">
        <v>127</v>
      </c>
      <c r="P962" s="1" t="s">
        <v>45</v>
      </c>
      <c r="Q962" s="1" t="s">
        <v>122</v>
      </c>
      <c r="R962" s="1" t="s">
        <v>105</v>
      </c>
      <c r="S962" s="1" t="s">
        <v>71</v>
      </c>
      <c r="T962" s="3" t="str">
        <f>Sheet4!H962</f>
        <v xml:space="preserve"> View Map </v>
      </c>
    </row>
    <row r="963" spans="1:20" ht="15" x14ac:dyDescent="0.25">
      <c r="A963" s="1" t="s">
        <v>3917</v>
      </c>
      <c r="B963" s="1" t="s">
        <v>3918</v>
      </c>
      <c r="C963" s="2">
        <v>2021</v>
      </c>
      <c r="D963" s="1" t="s">
        <v>24</v>
      </c>
      <c r="E963" s="2">
        <v>1</v>
      </c>
      <c r="F963" s="1" t="s">
        <v>3919</v>
      </c>
      <c r="G963" s="1"/>
      <c r="H963" s="2">
        <v>0</v>
      </c>
      <c r="I963" s="2">
        <v>20000</v>
      </c>
      <c r="J963" s="1" t="s">
        <v>3920</v>
      </c>
      <c r="K963" s="1" t="s">
        <v>28</v>
      </c>
      <c r="L963" s="1" t="s">
        <v>68</v>
      </c>
      <c r="M963" s="1" t="s">
        <v>69</v>
      </c>
      <c r="N963" s="1" t="s">
        <v>53</v>
      </c>
      <c r="O963" s="1" t="s">
        <v>338</v>
      </c>
      <c r="P963" s="1" t="s">
        <v>45</v>
      </c>
      <c r="Q963" s="1" t="s">
        <v>332</v>
      </c>
      <c r="R963" s="1" t="s">
        <v>128</v>
      </c>
      <c r="S963" s="1" t="s">
        <v>71</v>
      </c>
      <c r="T963" s="3" t="str">
        <f>Sheet4!H963</f>
        <v xml:space="preserve"> View Map </v>
      </c>
    </row>
    <row r="964" spans="1:20" ht="15" x14ac:dyDescent="0.25">
      <c r="A964" s="1" t="s">
        <v>3921</v>
      </c>
      <c r="B964" s="1" t="s">
        <v>3922</v>
      </c>
      <c r="C964" s="2">
        <v>2021</v>
      </c>
      <c r="D964" s="1" t="s">
        <v>24</v>
      </c>
      <c r="E964" s="2">
        <v>1</v>
      </c>
      <c r="F964" s="1" t="s">
        <v>3923</v>
      </c>
      <c r="G964" s="1"/>
      <c r="H964" s="2">
        <v>0</v>
      </c>
      <c r="I964" s="2">
        <v>50</v>
      </c>
      <c r="J964" s="1" t="s">
        <v>3924</v>
      </c>
      <c r="K964" s="1" t="s">
        <v>28</v>
      </c>
      <c r="L964" s="1" t="s">
        <v>51</v>
      </c>
      <c r="M964" s="1" t="s">
        <v>159</v>
      </c>
      <c r="N964" s="1" t="s">
        <v>1939</v>
      </c>
      <c r="O964" s="1" t="s">
        <v>1940</v>
      </c>
      <c r="P964" s="1" t="s">
        <v>153</v>
      </c>
      <c r="Q964" s="1" t="s">
        <v>193</v>
      </c>
      <c r="R964" s="1" t="s">
        <v>200</v>
      </c>
      <c r="S964" s="1" t="s">
        <v>71</v>
      </c>
      <c r="T964" s="3" t="str">
        <f>Sheet4!H964</f>
        <v xml:space="preserve"> View Map </v>
      </c>
    </row>
    <row r="965" spans="1:20" ht="15" x14ac:dyDescent="0.25">
      <c r="A965" s="1" t="s">
        <v>3925</v>
      </c>
      <c r="B965" s="1" t="s">
        <v>3926</v>
      </c>
      <c r="C965" s="2">
        <v>2021</v>
      </c>
      <c r="D965" s="1" t="s">
        <v>24</v>
      </c>
      <c r="E965" s="2">
        <v>1</v>
      </c>
      <c r="F965" s="1" t="s">
        <v>3927</v>
      </c>
      <c r="G965" s="1"/>
      <c r="H965" s="2">
        <v>0</v>
      </c>
      <c r="I965" s="2">
        <v>25000</v>
      </c>
      <c r="J965" s="1" t="s">
        <v>3928</v>
      </c>
      <c r="K965" s="1" t="s">
        <v>28</v>
      </c>
      <c r="L965" s="1" t="s">
        <v>68</v>
      </c>
      <c r="M965" s="1" t="s">
        <v>69</v>
      </c>
      <c r="N965" s="1" t="s">
        <v>53</v>
      </c>
      <c r="O965" s="1" t="s">
        <v>338</v>
      </c>
      <c r="P965" s="1" t="s">
        <v>45</v>
      </c>
      <c r="Q965" s="1" t="s">
        <v>332</v>
      </c>
      <c r="R965" s="1" t="s">
        <v>28</v>
      </c>
      <c r="S965" s="1" t="s">
        <v>71</v>
      </c>
      <c r="T965" s="3" t="str">
        <f>Sheet4!H965</f>
        <v xml:space="preserve"> View Map </v>
      </c>
    </row>
    <row r="966" spans="1:20" ht="15" x14ac:dyDescent="0.25">
      <c r="A966" s="1" t="s">
        <v>3929</v>
      </c>
      <c r="B966" s="1" t="s">
        <v>3930</v>
      </c>
      <c r="C966" s="2">
        <v>2021</v>
      </c>
      <c r="D966" s="1" t="s">
        <v>24</v>
      </c>
      <c r="E966" s="2">
        <v>1</v>
      </c>
      <c r="F966" s="1" t="s">
        <v>2025</v>
      </c>
      <c r="G966" s="1"/>
      <c r="H966" s="2">
        <v>0</v>
      </c>
      <c r="I966" s="2">
        <v>100000</v>
      </c>
      <c r="J966" s="1" t="s">
        <v>3931</v>
      </c>
      <c r="K966" s="1" t="s">
        <v>28</v>
      </c>
      <c r="L966" s="1" t="s">
        <v>68</v>
      </c>
      <c r="M966" s="1" t="s">
        <v>69</v>
      </c>
      <c r="N966" s="1" t="s">
        <v>162</v>
      </c>
      <c r="O966" s="1" t="s">
        <v>693</v>
      </c>
      <c r="P966" s="1" t="s">
        <v>162</v>
      </c>
      <c r="Q966" s="1" t="s">
        <v>516</v>
      </c>
      <c r="R966" s="1" t="s">
        <v>516</v>
      </c>
      <c r="S966" s="1" t="s">
        <v>71</v>
      </c>
      <c r="T966" s="3" t="str">
        <f>Sheet4!H966</f>
        <v xml:space="preserve"> View Map </v>
      </c>
    </row>
    <row r="967" spans="1:20" ht="15" x14ac:dyDescent="0.25">
      <c r="A967" s="1" t="s">
        <v>3932</v>
      </c>
      <c r="B967" s="1" t="s">
        <v>3933</v>
      </c>
      <c r="C967" s="2">
        <v>2021</v>
      </c>
      <c r="D967" s="1" t="s">
        <v>24</v>
      </c>
      <c r="E967" s="2">
        <v>1</v>
      </c>
      <c r="F967" s="1" t="s">
        <v>3919</v>
      </c>
      <c r="G967" s="1"/>
      <c r="H967" s="2">
        <v>0</v>
      </c>
      <c r="I967" s="2">
        <v>26600</v>
      </c>
      <c r="J967" s="1" t="s">
        <v>3934</v>
      </c>
      <c r="K967" s="1" t="s">
        <v>28</v>
      </c>
      <c r="L967" s="1" t="s">
        <v>68</v>
      </c>
      <c r="M967" s="1" t="s">
        <v>69</v>
      </c>
      <c r="N967" s="1" t="s">
        <v>53</v>
      </c>
      <c r="O967" s="1" t="s">
        <v>338</v>
      </c>
      <c r="P967" s="1" t="s">
        <v>45</v>
      </c>
      <c r="Q967" s="1" t="s">
        <v>332</v>
      </c>
      <c r="R967" s="1" t="s">
        <v>55</v>
      </c>
      <c r="S967" s="1" t="s">
        <v>71</v>
      </c>
      <c r="T967" s="3" t="str">
        <f>Sheet4!H967</f>
        <v xml:space="preserve"> View Map </v>
      </c>
    </row>
    <row r="968" spans="1:20" ht="15" x14ac:dyDescent="0.25">
      <c r="A968" s="1" t="s">
        <v>3935</v>
      </c>
      <c r="B968" s="1" t="s">
        <v>3936</v>
      </c>
      <c r="C968" s="2">
        <v>2021</v>
      </c>
      <c r="D968" s="1" t="s">
        <v>24</v>
      </c>
      <c r="E968" s="2">
        <v>1</v>
      </c>
      <c r="F968" s="1" t="s">
        <v>3937</v>
      </c>
      <c r="G968" s="1"/>
      <c r="H968" s="2">
        <v>0</v>
      </c>
      <c r="I968" s="2">
        <v>40000</v>
      </c>
      <c r="J968" s="1" t="s">
        <v>3938</v>
      </c>
      <c r="K968" s="1" t="s">
        <v>28</v>
      </c>
      <c r="L968" s="1" t="s">
        <v>51</v>
      </c>
      <c r="M968" s="1" t="s">
        <v>52</v>
      </c>
      <c r="N968" s="1" t="s">
        <v>53</v>
      </c>
      <c r="O968" s="1" t="s">
        <v>338</v>
      </c>
      <c r="P968" s="1" t="s">
        <v>45</v>
      </c>
      <c r="Q968" s="1" t="s">
        <v>332</v>
      </c>
      <c r="R968" s="1" t="s">
        <v>28</v>
      </c>
      <c r="S968" s="1" t="s">
        <v>71</v>
      </c>
      <c r="T968" s="3" t="str">
        <f>Sheet4!H968</f>
        <v xml:space="preserve"> View Map </v>
      </c>
    </row>
    <row r="969" spans="1:20" ht="15" x14ac:dyDescent="0.25">
      <c r="A969" s="1" t="s">
        <v>3939</v>
      </c>
      <c r="B969" s="1" t="s">
        <v>3940</v>
      </c>
      <c r="C969" s="2">
        <v>2021</v>
      </c>
      <c r="D969" s="1" t="s">
        <v>24</v>
      </c>
      <c r="E969" s="2">
        <v>1</v>
      </c>
      <c r="F969" s="1" t="s">
        <v>691</v>
      </c>
      <c r="G969" s="1" t="s">
        <v>691</v>
      </c>
      <c r="H969" s="2">
        <v>0</v>
      </c>
      <c r="I969" s="2">
        <v>600</v>
      </c>
      <c r="J969" s="1" t="s">
        <v>3941</v>
      </c>
      <c r="K969" s="1" t="s">
        <v>28</v>
      </c>
      <c r="L969" s="1" t="s">
        <v>68</v>
      </c>
      <c r="M969" s="1" t="s">
        <v>69</v>
      </c>
      <c r="N969" s="1" t="s">
        <v>162</v>
      </c>
      <c r="O969" s="1" t="s">
        <v>560</v>
      </c>
      <c r="P969" s="1" t="s">
        <v>162</v>
      </c>
      <c r="Q969" s="1" t="s">
        <v>28</v>
      </c>
      <c r="R969" s="1" t="s">
        <v>561</v>
      </c>
      <c r="S969" s="1" t="s">
        <v>71</v>
      </c>
      <c r="T969" s="3" t="str">
        <f>Sheet4!H969</f>
        <v xml:space="preserve"> View Map </v>
      </c>
    </row>
    <row r="970" spans="1:20" ht="15" x14ac:dyDescent="0.25">
      <c r="A970" s="1" t="s">
        <v>3942</v>
      </c>
      <c r="B970" s="1" t="s">
        <v>3943</v>
      </c>
      <c r="C970" s="2">
        <v>2021</v>
      </c>
      <c r="D970" s="1" t="s">
        <v>24</v>
      </c>
      <c r="E970" s="2">
        <v>1</v>
      </c>
      <c r="F970" s="1" t="s">
        <v>3730</v>
      </c>
      <c r="G970" s="1" t="s">
        <v>3730</v>
      </c>
      <c r="H970" s="2">
        <v>0</v>
      </c>
      <c r="I970" s="2">
        <v>10000</v>
      </c>
      <c r="J970" s="1" t="s">
        <v>3944</v>
      </c>
      <c r="K970" s="1" t="s">
        <v>28</v>
      </c>
      <c r="L970" s="1" t="s">
        <v>51</v>
      </c>
      <c r="M970" s="1" t="s">
        <v>52</v>
      </c>
      <c r="N970" s="1" t="s">
        <v>53</v>
      </c>
      <c r="O970" s="1" t="s">
        <v>338</v>
      </c>
      <c r="P970" s="1" t="s">
        <v>45</v>
      </c>
      <c r="Q970" s="1" t="s">
        <v>332</v>
      </c>
      <c r="R970" s="1" t="s">
        <v>55</v>
      </c>
      <c r="S970" s="1" t="s">
        <v>71</v>
      </c>
      <c r="T970" s="3" t="str">
        <f>Sheet4!H970</f>
        <v xml:space="preserve"> View Map </v>
      </c>
    </row>
    <row r="971" spans="1:20" ht="15" x14ac:dyDescent="0.25">
      <c r="A971" s="1" t="s">
        <v>3945</v>
      </c>
      <c r="B971" s="1" t="s">
        <v>3946</v>
      </c>
      <c r="C971" s="2">
        <v>2021</v>
      </c>
      <c r="D971" s="1" t="s">
        <v>24</v>
      </c>
      <c r="E971" s="2">
        <v>1</v>
      </c>
      <c r="F971" s="1" t="s">
        <v>3947</v>
      </c>
      <c r="G971" s="1" t="s">
        <v>3730</v>
      </c>
      <c r="H971" s="2">
        <v>0</v>
      </c>
      <c r="I971" s="2">
        <v>14200</v>
      </c>
      <c r="J971" s="1" t="s">
        <v>3948</v>
      </c>
      <c r="K971" s="1" t="s">
        <v>28</v>
      </c>
      <c r="L971" s="1" t="s">
        <v>51</v>
      </c>
      <c r="M971" s="1" t="s">
        <v>52</v>
      </c>
      <c r="N971" s="1" t="s">
        <v>53</v>
      </c>
      <c r="O971" s="1" t="s">
        <v>338</v>
      </c>
      <c r="P971" s="1" t="s">
        <v>45</v>
      </c>
      <c r="Q971" s="1" t="s">
        <v>332</v>
      </c>
      <c r="R971" s="1" t="s">
        <v>55</v>
      </c>
      <c r="S971" s="1" t="s">
        <v>71</v>
      </c>
      <c r="T971" s="3" t="str">
        <f>Sheet4!H971</f>
        <v xml:space="preserve"> View Map </v>
      </c>
    </row>
    <row r="972" spans="1:20" ht="15" x14ac:dyDescent="0.25">
      <c r="A972" s="1" t="s">
        <v>3949</v>
      </c>
      <c r="B972" s="1" t="s">
        <v>3950</v>
      </c>
      <c r="C972" s="2">
        <v>2021</v>
      </c>
      <c r="D972" s="1" t="s">
        <v>24</v>
      </c>
      <c r="E972" s="2">
        <v>1</v>
      </c>
      <c r="F972" s="1" t="s">
        <v>3249</v>
      </c>
      <c r="G972" s="1"/>
      <c r="H972" s="2">
        <v>0</v>
      </c>
      <c r="I972" s="2">
        <v>100000</v>
      </c>
      <c r="J972" s="1" t="s">
        <v>3951</v>
      </c>
      <c r="K972" s="1" t="s">
        <v>28</v>
      </c>
      <c r="L972" s="1" t="s">
        <v>68</v>
      </c>
      <c r="M972" s="1" t="s">
        <v>69</v>
      </c>
      <c r="N972" s="1" t="s">
        <v>53</v>
      </c>
      <c r="O972" s="1" t="s">
        <v>338</v>
      </c>
      <c r="P972" s="1" t="s">
        <v>45</v>
      </c>
      <c r="Q972" s="1" t="s">
        <v>332</v>
      </c>
      <c r="R972" s="1" t="s">
        <v>128</v>
      </c>
      <c r="S972" s="1" t="s">
        <v>71</v>
      </c>
      <c r="T972" s="3" t="str">
        <f>Sheet4!H972</f>
        <v xml:space="preserve"> View Map </v>
      </c>
    </row>
    <row r="973" spans="1:20" ht="15" x14ac:dyDescent="0.25">
      <c r="A973" s="1" t="s">
        <v>3952</v>
      </c>
      <c r="B973" s="1" t="s">
        <v>3953</v>
      </c>
      <c r="C973" s="2">
        <v>2021</v>
      </c>
      <c r="D973" s="1" t="s">
        <v>24</v>
      </c>
      <c r="E973" s="2">
        <v>1</v>
      </c>
      <c r="F973" s="1" t="s">
        <v>3745</v>
      </c>
      <c r="G973" s="1"/>
      <c r="H973" s="2">
        <v>0</v>
      </c>
      <c r="I973" s="2">
        <v>14000</v>
      </c>
      <c r="J973" s="1" t="s">
        <v>3954</v>
      </c>
      <c r="K973" s="1" t="s">
        <v>28</v>
      </c>
      <c r="L973" s="1" t="s">
        <v>68</v>
      </c>
      <c r="M973" s="1" t="s">
        <v>69</v>
      </c>
      <c r="N973" s="1" t="s">
        <v>53</v>
      </c>
      <c r="O973" s="1" t="s">
        <v>338</v>
      </c>
      <c r="P973" s="1" t="s">
        <v>45</v>
      </c>
      <c r="Q973" s="1" t="s">
        <v>332</v>
      </c>
      <c r="R973" s="1" t="s">
        <v>128</v>
      </c>
      <c r="S973" s="1" t="s">
        <v>71</v>
      </c>
      <c r="T973" s="3" t="str">
        <f>Sheet4!H973</f>
        <v xml:space="preserve"> View Map </v>
      </c>
    </row>
    <row r="974" spans="1:20" ht="15" x14ac:dyDescent="0.25">
      <c r="A974" s="1" t="s">
        <v>3955</v>
      </c>
      <c r="B974" s="1" t="s">
        <v>3956</v>
      </c>
      <c r="C974" s="2">
        <v>2021</v>
      </c>
      <c r="D974" s="1" t="s">
        <v>24</v>
      </c>
      <c r="E974" s="2">
        <v>1</v>
      </c>
      <c r="F974" s="1" t="s">
        <v>3726</v>
      </c>
      <c r="G974" s="1"/>
      <c r="H974" s="2">
        <v>0</v>
      </c>
      <c r="I974" s="2">
        <v>15000</v>
      </c>
      <c r="J974" s="1" t="s">
        <v>3957</v>
      </c>
      <c r="K974" s="1" t="s">
        <v>28</v>
      </c>
      <c r="L974" s="1" t="s">
        <v>68</v>
      </c>
      <c r="M974" s="1" t="s">
        <v>28</v>
      </c>
      <c r="N974" s="1" t="s">
        <v>53</v>
      </c>
      <c r="O974" s="1" t="s">
        <v>338</v>
      </c>
      <c r="P974" s="1" t="s">
        <v>45</v>
      </c>
      <c r="Q974" s="1" t="s">
        <v>332</v>
      </c>
      <c r="R974" s="1" t="s">
        <v>28</v>
      </c>
      <c r="S974" s="1" t="s">
        <v>71</v>
      </c>
      <c r="T974" s="3" t="str">
        <f>Sheet4!H974</f>
        <v xml:space="preserve"> View Map </v>
      </c>
    </row>
    <row r="975" spans="1:20" ht="15" x14ac:dyDescent="0.25">
      <c r="A975" s="1" t="s">
        <v>3958</v>
      </c>
      <c r="B975" s="1" t="s">
        <v>3959</v>
      </c>
      <c r="C975" s="2">
        <v>2023</v>
      </c>
      <c r="D975" s="1" t="s">
        <v>24</v>
      </c>
      <c r="E975" s="2">
        <v>1</v>
      </c>
      <c r="F975" s="1" t="s">
        <v>3960</v>
      </c>
      <c r="G975" s="1"/>
      <c r="H975" s="2">
        <v>0</v>
      </c>
      <c r="I975" s="2">
        <v>50</v>
      </c>
      <c r="J975" s="1" t="s">
        <v>3961</v>
      </c>
      <c r="K975" s="1" t="s">
        <v>28</v>
      </c>
      <c r="L975" s="1" t="s">
        <v>51</v>
      </c>
      <c r="M975" s="1" t="s">
        <v>52</v>
      </c>
      <c r="N975" s="1" t="s">
        <v>53</v>
      </c>
      <c r="O975" s="1" t="s">
        <v>338</v>
      </c>
      <c r="P975" s="1" t="s">
        <v>45</v>
      </c>
      <c r="Q975" s="1" t="s">
        <v>332</v>
      </c>
      <c r="R975" s="1" t="s">
        <v>55</v>
      </c>
      <c r="S975" s="1" t="s">
        <v>71</v>
      </c>
      <c r="T975" s="3" t="str">
        <f>Sheet4!H975</f>
        <v xml:space="preserve"> View Map </v>
      </c>
    </row>
    <row r="976" spans="1:20" ht="15" x14ac:dyDescent="0.25">
      <c r="A976" s="1" t="s">
        <v>3962</v>
      </c>
      <c r="B976" s="1" t="s">
        <v>3963</v>
      </c>
      <c r="C976" s="2">
        <v>2021</v>
      </c>
      <c r="D976" s="1" t="s">
        <v>24</v>
      </c>
      <c r="E976" s="2">
        <v>1</v>
      </c>
      <c r="F976" s="1" t="s">
        <v>3964</v>
      </c>
      <c r="G976" s="1"/>
      <c r="H976" s="2">
        <v>0</v>
      </c>
      <c r="I976" s="2">
        <v>350</v>
      </c>
      <c r="J976" s="1" t="s">
        <v>3965</v>
      </c>
      <c r="K976" s="1" t="s">
        <v>28</v>
      </c>
      <c r="L976" s="1" t="s">
        <v>51</v>
      </c>
      <c r="M976" s="1" t="s">
        <v>52</v>
      </c>
      <c r="N976" s="1" t="s">
        <v>53</v>
      </c>
      <c r="O976" s="1" t="s">
        <v>412</v>
      </c>
      <c r="P976" s="1" t="s">
        <v>45</v>
      </c>
      <c r="Q976" s="1" t="s">
        <v>45</v>
      </c>
      <c r="R976" s="1" t="s">
        <v>204</v>
      </c>
      <c r="S976" s="1" t="s">
        <v>71</v>
      </c>
      <c r="T976" s="3" t="str">
        <f>Sheet4!H976</f>
        <v xml:space="preserve"> View Map </v>
      </c>
    </row>
    <row r="977" spans="1:20" ht="15" x14ac:dyDescent="0.25">
      <c r="A977" s="1" t="s">
        <v>3966</v>
      </c>
      <c r="B977" s="1" t="s">
        <v>3967</v>
      </c>
      <c r="C977" s="2">
        <v>2021</v>
      </c>
      <c r="D977" s="1" t="s">
        <v>24</v>
      </c>
      <c r="E977" s="2">
        <v>1</v>
      </c>
      <c r="F977" s="1" t="s">
        <v>3968</v>
      </c>
      <c r="G977" s="1"/>
      <c r="H977" s="2">
        <v>1400</v>
      </c>
      <c r="I977" s="2">
        <v>600</v>
      </c>
      <c r="J977" s="1" t="s">
        <v>3969</v>
      </c>
      <c r="K977" s="1" t="s">
        <v>28</v>
      </c>
      <c r="L977" s="1" t="s">
        <v>29</v>
      </c>
      <c r="M977" s="1" t="s">
        <v>30</v>
      </c>
      <c r="N977" s="1" t="s">
        <v>20</v>
      </c>
      <c r="O977" s="1" t="s">
        <v>31</v>
      </c>
      <c r="P977" s="1" t="s">
        <v>20</v>
      </c>
      <c r="Q977" s="1" t="s">
        <v>33</v>
      </c>
      <c r="R977" s="1" t="s">
        <v>44</v>
      </c>
      <c r="S977" s="1" t="s">
        <v>71</v>
      </c>
      <c r="T977" s="3" t="str">
        <f>Sheet4!H977</f>
        <v xml:space="preserve"> View Map </v>
      </c>
    </row>
    <row r="978" spans="1:20" ht="15" x14ac:dyDescent="0.25">
      <c r="A978" s="1" t="s">
        <v>3970</v>
      </c>
      <c r="B978" s="1" t="s">
        <v>3971</v>
      </c>
      <c r="C978" s="2">
        <v>2021</v>
      </c>
      <c r="D978" s="1" t="s">
        <v>24</v>
      </c>
      <c r="E978" s="2">
        <v>1</v>
      </c>
      <c r="F978" s="1" t="s">
        <v>3972</v>
      </c>
      <c r="G978" s="1"/>
      <c r="H978" s="2">
        <v>0</v>
      </c>
      <c r="I978" s="2">
        <v>7800</v>
      </c>
      <c r="J978" s="1" t="s">
        <v>3973</v>
      </c>
      <c r="K978" s="1" t="s">
        <v>28</v>
      </c>
      <c r="L978" s="1" t="s">
        <v>51</v>
      </c>
      <c r="M978" s="1" t="s">
        <v>52</v>
      </c>
      <c r="N978" s="1" t="s">
        <v>53</v>
      </c>
      <c r="O978" s="1" t="s">
        <v>338</v>
      </c>
      <c r="P978" s="1" t="s">
        <v>45</v>
      </c>
      <c r="Q978" s="1" t="s">
        <v>332</v>
      </c>
      <c r="R978" s="1" t="s">
        <v>28</v>
      </c>
      <c r="S978" s="1" t="s">
        <v>71</v>
      </c>
      <c r="T978" s="3" t="str">
        <f>Sheet4!H978</f>
        <v xml:space="preserve"> View Map </v>
      </c>
    </row>
    <row r="979" spans="1:20" ht="15" x14ac:dyDescent="0.25">
      <c r="A979" s="1" t="s">
        <v>3974</v>
      </c>
      <c r="B979" s="1" t="s">
        <v>3975</v>
      </c>
      <c r="C979" s="2">
        <v>2021</v>
      </c>
      <c r="D979" s="1" t="s">
        <v>24</v>
      </c>
      <c r="E979" s="2">
        <v>1</v>
      </c>
      <c r="F979" s="1" t="s">
        <v>3976</v>
      </c>
      <c r="G979" s="1" t="s">
        <v>3976</v>
      </c>
      <c r="H979" s="2">
        <v>0</v>
      </c>
      <c r="I979" s="2">
        <v>700</v>
      </c>
      <c r="J979" s="1" t="s">
        <v>3977</v>
      </c>
      <c r="K979" s="1" t="s">
        <v>28</v>
      </c>
      <c r="L979" s="1" t="s">
        <v>68</v>
      </c>
      <c r="M979" s="1" t="s">
        <v>69</v>
      </c>
      <c r="N979" s="1" t="s">
        <v>72</v>
      </c>
      <c r="O979" s="1" t="s">
        <v>78</v>
      </c>
      <c r="P979" s="1" t="s">
        <v>72</v>
      </c>
      <c r="Q979" s="1" t="s">
        <v>2047</v>
      </c>
      <c r="R979" s="1" t="s">
        <v>72</v>
      </c>
      <c r="S979" s="1" t="s">
        <v>71</v>
      </c>
      <c r="T979" s="3" t="str">
        <f>Sheet4!H979</f>
        <v xml:space="preserve"> View Map </v>
      </c>
    </row>
    <row r="980" spans="1:20" ht="15" x14ac:dyDescent="0.25">
      <c r="A980" s="1" t="s">
        <v>3978</v>
      </c>
      <c r="B980" s="1" t="s">
        <v>3979</v>
      </c>
      <c r="C980" s="2">
        <v>2022</v>
      </c>
      <c r="D980" s="1" t="s">
        <v>24</v>
      </c>
      <c r="E980" s="2">
        <v>1</v>
      </c>
      <c r="F980" s="1" t="s">
        <v>3980</v>
      </c>
      <c r="G980" s="1" t="s">
        <v>2975</v>
      </c>
      <c r="H980" s="2">
        <v>0</v>
      </c>
      <c r="I980" s="2">
        <v>250</v>
      </c>
      <c r="J980" s="1" t="s">
        <v>3981</v>
      </c>
      <c r="K980" s="1" t="s">
        <v>28</v>
      </c>
      <c r="L980" s="1" t="s">
        <v>68</v>
      </c>
      <c r="M980" s="1" t="s">
        <v>69</v>
      </c>
      <c r="N980" s="1" t="s">
        <v>162</v>
      </c>
      <c r="O980" s="1" t="s">
        <v>1568</v>
      </c>
      <c r="P980" s="1" t="s">
        <v>162</v>
      </c>
      <c r="Q980" s="1" t="s">
        <v>28</v>
      </c>
      <c r="R980" s="1" t="s">
        <v>162</v>
      </c>
      <c r="S980" s="1" t="s">
        <v>71</v>
      </c>
      <c r="T980" s="3" t="str">
        <f>Sheet4!H980</f>
        <v xml:space="preserve"> View Map </v>
      </c>
    </row>
    <row r="981" spans="1:20" ht="15" x14ac:dyDescent="0.25">
      <c r="A981" s="1" t="s">
        <v>3982</v>
      </c>
      <c r="B981" s="1" t="s">
        <v>3983</v>
      </c>
      <c r="C981" s="2">
        <v>2022</v>
      </c>
      <c r="D981" s="1" t="s">
        <v>24</v>
      </c>
      <c r="E981" s="2">
        <v>1</v>
      </c>
      <c r="F981" s="1" t="s">
        <v>3984</v>
      </c>
      <c r="G981" s="1"/>
      <c r="H981" s="2">
        <v>0</v>
      </c>
      <c r="I981" s="2">
        <v>9000</v>
      </c>
      <c r="J981" s="1" t="s">
        <v>3985</v>
      </c>
      <c r="K981" s="1" t="s">
        <v>28</v>
      </c>
      <c r="L981" s="1" t="s">
        <v>51</v>
      </c>
      <c r="M981" s="1" t="s">
        <v>52</v>
      </c>
      <c r="N981" s="1" t="s">
        <v>53</v>
      </c>
      <c r="O981" s="1" t="s">
        <v>338</v>
      </c>
      <c r="P981" s="1" t="s">
        <v>45</v>
      </c>
      <c r="Q981" s="1" t="s">
        <v>332</v>
      </c>
      <c r="R981" s="1" t="s">
        <v>128</v>
      </c>
      <c r="S981" s="1" t="s">
        <v>71</v>
      </c>
      <c r="T981" s="3" t="str">
        <f>Sheet4!H981</f>
        <v xml:space="preserve"> View Map </v>
      </c>
    </row>
    <row r="982" spans="1:20" ht="15" x14ac:dyDescent="0.25">
      <c r="A982" s="1" t="s">
        <v>3986</v>
      </c>
      <c r="B982" s="1" t="s">
        <v>3987</v>
      </c>
      <c r="C982" s="2">
        <v>2022</v>
      </c>
      <c r="D982" s="1" t="s">
        <v>24</v>
      </c>
      <c r="E982" s="2">
        <v>1</v>
      </c>
      <c r="F982" s="1" t="s">
        <v>3988</v>
      </c>
      <c r="G982" s="1" t="s">
        <v>3989</v>
      </c>
      <c r="H982" s="2">
        <v>0</v>
      </c>
      <c r="I982" s="2">
        <v>450</v>
      </c>
      <c r="J982" s="1" t="s">
        <v>3990</v>
      </c>
      <c r="K982" s="1" t="s">
        <v>28</v>
      </c>
      <c r="L982" s="1" t="s">
        <v>29</v>
      </c>
      <c r="M982" s="1" t="s">
        <v>30</v>
      </c>
      <c r="N982" s="1" t="s">
        <v>20</v>
      </c>
      <c r="O982" s="1" t="s">
        <v>31</v>
      </c>
      <c r="P982" s="1" t="s">
        <v>20</v>
      </c>
      <c r="Q982" s="1" t="s">
        <v>33</v>
      </c>
      <c r="R982" s="1" t="s">
        <v>38</v>
      </c>
      <c r="S982" s="1" t="s">
        <v>71</v>
      </c>
      <c r="T982" s="3" t="str">
        <f>Sheet4!H982</f>
        <v xml:space="preserve"> View Map </v>
      </c>
    </row>
    <row r="983" spans="1:20" ht="15" x14ac:dyDescent="0.25">
      <c r="A983" s="1" t="s">
        <v>3991</v>
      </c>
      <c r="B983" s="1" t="s">
        <v>3992</v>
      </c>
      <c r="C983" s="2">
        <v>2022</v>
      </c>
      <c r="D983" s="1" t="s">
        <v>24</v>
      </c>
      <c r="E983" s="2">
        <v>1</v>
      </c>
      <c r="F983" s="1" t="s">
        <v>3498</v>
      </c>
      <c r="G983" s="1"/>
      <c r="H983" s="2">
        <v>0</v>
      </c>
      <c r="I983" s="2">
        <v>26000</v>
      </c>
      <c r="J983" s="1" t="s">
        <v>3993</v>
      </c>
      <c r="K983" s="1" t="s">
        <v>28</v>
      </c>
      <c r="L983" s="1" t="s">
        <v>51</v>
      </c>
      <c r="M983" s="1" t="s">
        <v>52</v>
      </c>
      <c r="N983" s="1" t="s">
        <v>53</v>
      </c>
      <c r="O983" s="1" t="s">
        <v>3822</v>
      </c>
      <c r="P983" s="1" t="s">
        <v>45</v>
      </c>
      <c r="Q983" s="1" t="s">
        <v>332</v>
      </c>
      <c r="R983" s="1" t="s">
        <v>128</v>
      </c>
      <c r="S983" s="1" t="s">
        <v>71</v>
      </c>
      <c r="T983" s="3" t="str">
        <f>Sheet4!H983</f>
        <v xml:space="preserve"> View Map </v>
      </c>
    </row>
    <row r="984" spans="1:20" ht="15" x14ac:dyDescent="0.25">
      <c r="A984" s="1" t="s">
        <v>3994</v>
      </c>
      <c r="B984" s="1" t="s">
        <v>3995</v>
      </c>
      <c r="C984" s="2">
        <v>2022</v>
      </c>
      <c r="D984" s="1" t="s">
        <v>24</v>
      </c>
      <c r="E984" s="2">
        <v>1</v>
      </c>
      <c r="F984" s="1" t="s">
        <v>3996</v>
      </c>
      <c r="G984" s="1"/>
      <c r="H984" s="2">
        <v>0</v>
      </c>
      <c r="I984" s="2">
        <v>250</v>
      </c>
      <c r="J984" s="1" t="s">
        <v>3997</v>
      </c>
      <c r="K984" s="1" t="s">
        <v>28</v>
      </c>
      <c r="L984" s="1" t="s">
        <v>68</v>
      </c>
      <c r="M984" s="1" t="s">
        <v>69</v>
      </c>
      <c r="N984" s="1" t="s">
        <v>53</v>
      </c>
      <c r="O984" s="1" t="s">
        <v>127</v>
      </c>
      <c r="P984" s="1" t="s">
        <v>45</v>
      </c>
      <c r="Q984" s="1" t="s">
        <v>122</v>
      </c>
      <c r="R984" s="1" t="s">
        <v>128</v>
      </c>
      <c r="S984" s="1" t="s">
        <v>71</v>
      </c>
      <c r="T984" s="3" t="str">
        <f>Sheet4!H984</f>
        <v xml:space="preserve"> View Map </v>
      </c>
    </row>
    <row r="985" spans="1:20" ht="15" x14ac:dyDescent="0.25">
      <c r="A985" s="1" t="s">
        <v>3998</v>
      </c>
      <c r="B985" s="1" t="s">
        <v>3999</v>
      </c>
      <c r="C985" s="2">
        <v>2022</v>
      </c>
      <c r="D985" s="1" t="s">
        <v>24</v>
      </c>
      <c r="E985" s="2">
        <v>1</v>
      </c>
      <c r="F985" s="1" t="s">
        <v>4000</v>
      </c>
      <c r="G985" s="1" t="s">
        <v>4001</v>
      </c>
      <c r="H985" s="2">
        <v>0</v>
      </c>
      <c r="I985" s="2">
        <v>200</v>
      </c>
      <c r="J985" s="1" t="s">
        <v>4002</v>
      </c>
      <c r="K985" s="1" t="s">
        <v>28</v>
      </c>
      <c r="L985" s="1" t="s">
        <v>29</v>
      </c>
      <c r="M985" s="1" t="s">
        <v>134</v>
      </c>
      <c r="N985" s="1" t="s">
        <v>160</v>
      </c>
      <c r="O985" s="1" t="s">
        <v>1431</v>
      </c>
      <c r="P985" s="1" t="s">
        <v>153</v>
      </c>
      <c r="Q985" s="1" t="s">
        <v>154</v>
      </c>
      <c r="R985" s="1" t="s">
        <v>192</v>
      </c>
      <c r="S985" s="1" t="s">
        <v>71</v>
      </c>
      <c r="T985" s="3" t="str">
        <f>Sheet4!H985</f>
        <v xml:space="preserve"> View Map </v>
      </c>
    </row>
    <row r="986" spans="1:20" ht="15" x14ac:dyDescent="0.25">
      <c r="A986" s="1" t="s">
        <v>4003</v>
      </c>
      <c r="B986" s="1" t="s">
        <v>4004</v>
      </c>
      <c r="C986" s="2">
        <v>2022</v>
      </c>
      <c r="D986" s="1" t="s">
        <v>24</v>
      </c>
      <c r="E986" s="2">
        <v>1</v>
      </c>
      <c r="F986" s="1" t="s">
        <v>770</v>
      </c>
      <c r="G986" s="1"/>
      <c r="H986" s="2">
        <v>0</v>
      </c>
      <c r="I986" s="2">
        <v>500</v>
      </c>
      <c r="J986" s="1" t="s">
        <v>4005</v>
      </c>
      <c r="K986" s="1" t="s">
        <v>28</v>
      </c>
      <c r="L986" s="1" t="s">
        <v>68</v>
      </c>
      <c r="M986" s="1" t="s">
        <v>69</v>
      </c>
      <c r="N986" s="1" t="s">
        <v>162</v>
      </c>
      <c r="O986" s="1" t="s">
        <v>770</v>
      </c>
      <c r="P986" s="1" t="s">
        <v>162</v>
      </c>
      <c r="Q986" s="1" t="s">
        <v>506</v>
      </c>
      <c r="R986" s="1" t="s">
        <v>162</v>
      </c>
      <c r="S986" s="1" t="s">
        <v>71</v>
      </c>
      <c r="T986" s="3" t="str">
        <f>Sheet4!H986</f>
        <v xml:space="preserve"> View Map </v>
      </c>
    </row>
    <row r="987" spans="1:20" ht="15" x14ac:dyDescent="0.25">
      <c r="A987" s="1" t="s">
        <v>4006</v>
      </c>
      <c r="B987" s="1" t="s">
        <v>4007</v>
      </c>
      <c r="C987" s="2">
        <v>2022</v>
      </c>
      <c r="D987" s="1" t="s">
        <v>24</v>
      </c>
      <c r="E987" s="2">
        <v>1</v>
      </c>
      <c r="F987" s="1" t="s">
        <v>2284</v>
      </c>
      <c r="G987" s="1" t="s">
        <v>2284</v>
      </c>
      <c r="H987" s="2">
        <v>0</v>
      </c>
      <c r="I987" s="2">
        <v>10000</v>
      </c>
      <c r="J987" s="1" t="s">
        <v>4008</v>
      </c>
      <c r="K987" s="1" t="s">
        <v>28</v>
      </c>
      <c r="L987" s="1" t="s">
        <v>68</v>
      </c>
      <c r="M987" s="1" t="s">
        <v>69</v>
      </c>
      <c r="N987" s="1" t="s">
        <v>322</v>
      </c>
      <c r="O987" s="1" t="s">
        <v>323</v>
      </c>
      <c r="P987" s="1" t="s">
        <v>162</v>
      </c>
      <c r="Q987" s="1" t="s">
        <v>506</v>
      </c>
      <c r="R987" s="1" t="s">
        <v>784</v>
      </c>
      <c r="S987" s="1" t="s">
        <v>71</v>
      </c>
      <c r="T987" s="3" t="str">
        <f>Sheet4!H987</f>
        <v xml:space="preserve"> View Map </v>
      </c>
    </row>
    <row r="988" spans="1:20" ht="15" x14ac:dyDescent="0.25">
      <c r="A988" s="1" t="s">
        <v>4009</v>
      </c>
      <c r="B988" s="1" t="s">
        <v>4010</v>
      </c>
      <c r="C988" s="2">
        <v>2022</v>
      </c>
      <c r="D988" s="1" t="s">
        <v>24</v>
      </c>
      <c r="E988" s="2">
        <v>1</v>
      </c>
      <c r="F988" s="1" t="s">
        <v>4011</v>
      </c>
      <c r="G988" s="1" t="s">
        <v>4012</v>
      </c>
      <c r="H988" s="2">
        <v>0</v>
      </c>
      <c r="I988" s="2">
        <v>500</v>
      </c>
      <c r="J988" s="1" t="s">
        <v>4013</v>
      </c>
      <c r="K988" s="1" t="s">
        <v>28</v>
      </c>
      <c r="L988" s="1" t="s">
        <v>68</v>
      </c>
      <c r="M988" s="1" t="s">
        <v>69</v>
      </c>
      <c r="N988" s="1" t="s">
        <v>275</v>
      </c>
      <c r="O988" s="1" t="s">
        <v>2441</v>
      </c>
      <c r="P988" s="1" t="s">
        <v>275</v>
      </c>
      <c r="Q988" s="1" t="s">
        <v>275</v>
      </c>
      <c r="R988" s="1" t="s">
        <v>645</v>
      </c>
      <c r="S988" s="1" t="s">
        <v>71</v>
      </c>
      <c r="T988" s="3" t="str">
        <f>Sheet4!H988</f>
        <v xml:space="preserve"> View Map </v>
      </c>
    </row>
    <row r="989" spans="1:20" ht="15" x14ac:dyDescent="0.25">
      <c r="A989" s="1" t="s">
        <v>4014</v>
      </c>
      <c r="B989" s="1" t="s">
        <v>4015</v>
      </c>
      <c r="C989" s="2">
        <v>2022</v>
      </c>
      <c r="D989" s="1" t="s">
        <v>24</v>
      </c>
      <c r="E989" s="2">
        <v>1</v>
      </c>
      <c r="F989" s="1" t="s">
        <v>4016</v>
      </c>
      <c r="G989" s="1" t="s">
        <v>4016</v>
      </c>
      <c r="H989" s="2">
        <v>0</v>
      </c>
      <c r="I989" s="2">
        <v>60</v>
      </c>
      <c r="J989" s="1" t="s">
        <v>4017</v>
      </c>
      <c r="K989" s="1" t="s">
        <v>28</v>
      </c>
      <c r="L989" s="1" t="s">
        <v>68</v>
      </c>
      <c r="M989" s="1" t="s">
        <v>69</v>
      </c>
      <c r="N989" s="1" t="s">
        <v>162</v>
      </c>
      <c r="O989" s="1" t="s">
        <v>1426</v>
      </c>
      <c r="P989" s="1" t="s">
        <v>304</v>
      </c>
      <c r="Q989" s="1" t="s">
        <v>432</v>
      </c>
      <c r="R989" s="1" t="s">
        <v>162</v>
      </c>
      <c r="S989" s="1" t="s">
        <v>71</v>
      </c>
      <c r="T989" s="3" t="str">
        <f>Sheet4!H989</f>
        <v xml:space="preserve"> View Map </v>
      </c>
    </row>
    <row r="990" spans="1:20" ht="15" x14ac:dyDescent="0.25">
      <c r="A990" s="1" t="s">
        <v>4018</v>
      </c>
      <c r="B990" s="1" t="s">
        <v>4019</v>
      </c>
      <c r="C990" s="2">
        <v>2022</v>
      </c>
      <c r="D990" s="1" t="s">
        <v>24</v>
      </c>
      <c r="E990" s="2">
        <v>1</v>
      </c>
      <c r="F990" s="1" t="s">
        <v>4020</v>
      </c>
      <c r="G990" s="1" t="s">
        <v>4021</v>
      </c>
      <c r="H990" s="2">
        <v>0</v>
      </c>
      <c r="I990" s="2">
        <v>50</v>
      </c>
      <c r="J990" s="1" t="s">
        <v>4022</v>
      </c>
      <c r="K990" s="1" t="s">
        <v>28</v>
      </c>
      <c r="L990" s="1" t="s">
        <v>51</v>
      </c>
      <c r="M990" s="1" t="s">
        <v>159</v>
      </c>
      <c r="N990" s="1" t="s">
        <v>160</v>
      </c>
      <c r="O990" s="1" t="s">
        <v>219</v>
      </c>
      <c r="P990" s="1" t="s">
        <v>153</v>
      </c>
      <c r="Q990" s="1" t="s">
        <v>153</v>
      </c>
      <c r="R990" s="1" t="s">
        <v>220</v>
      </c>
      <c r="S990" s="1" t="s">
        <v>71</v>
      </c>
      <c r="T990" s="3" t="str">
        <f>Sheet4!H990</f>
        <v xml:space="preserve"> View Map </v>
      </c>
    </row>
    <row r="991" spans="1:20" ht="15" x14ac:dyDescent="0.25">
      <c r="A991" s="1" t="s">
        <v>4023</v>
      </c>
      <c r="B991" s="1" t="s">
        <v>3915</v>
      </c>
      <c r="C991" s="2">
        <v>2023</v>
      </c>
      <c r="D991" s="1" t="s">
        <v>24</v>
      </c>
      <c r="E991" s="2">
        <v>1</v>
      </c>
      <c r="F991" s="1" t="s">
        <v>4024</v>
      </c>
      <c r="G991" s="1"/>
      <c r="H991" s="2">
        <v>0</v>
      </c>
      <c r="I991" s="2">
        <v>19500</v>
      </c>
      <c r="J991" s="1" t="s">
        <v>4025</v>
      </c>
      <c r="K991" s="1" t="s">
        <v>28</v>
      </c>
      <c r="L991" s="1" t="s">
        <v>51</v>
      </c>
      <c r="M991" s="1" t="s">
        <v>52</v>
      </c>
      <c r="N991" s="1" t="s">
        <v>53</v>
      </c>
      <c r="O991" s="1" t="s">
        <v>127</v>
      </c>
      <c r="P991" s="1" t="s">
        <v>45</v>
      </c>
      <c r="Q991" s="1" t="s">
        <v>122</v>
      </c>
      <c r="R991" s="1" t="s">
        <v>105</v>
      </c>
      <c r="S991" s="1" t="s">
        <v>71</v>
      </c>
      <c r="T991" s="3" t="str">
        <f>Sheet4!H991</f>
        <v xml:space="preserve"> View Map </v>
      </c>
    </row>
    <row r="992" spans="1:20" ht="15" x14ac:dyDescent="0.25">
      <c r="A992" s="1" t="s">
        <v>4026</v>
      </c>
      <c r="B992" s="1" t="s">
        <v>4027</v>
      </c>
      <c r="C992" s="2">
        <v>2023</v>
      </c>
      <c r="D992" s="1" t="s">
        <v>24</v>
      </c>
      <c r="E992" s="2">
        <v>1</v>
      </c>
      <c r="F992" s="1" t="s">
        <v>3249</v>
      </c>
      <c r="G992" s="1"/>
      <c r="H992" s="2">
        <v>0</v>
      </c>
      <c r="I992" s="2">
        <v>10000</v>
      </c>
      <c r="J992" s="1" t="s">
        <v>4028</v>
      </c>
      <c r="K992" s="1" t="s">
        <v>28</v>
      </c>
      <c r="L992" s="1" t="s">
        <v>68</v>
      </c>
      <c r="M992" s="1" t="s">
        <v>69</v>
      </c>
      <c r="N992" s="1" t="s">
        <v>53</v>
      </c>
      <c r="O992" s="1" t="s">
        <v>338</v>
      </c>
      <c r="P992" s="1" t="s">
        <v>45</v>
      </c>
      <c r="Q992" s="1" t="s">
        <v>332</v>
      </c>
      <c r="R992" s="1" t="s">
        <v>55</v>
      </c>
      <c r="S992" s="1" t="s">
        <v>71</v>
      </c>
      <c r="T992" s="3" t="str">
        <f>Sheet4!H992</f>
        <v xml:space="preserve"> View Map </v>
      </c>
    </row>
    <row r="993" spans="1:20" ht="15" x14ac:dyDescent="0.25">
      <c r="A993" s="1" t="s">
        <v>4029</v>
      </c>
      <c r="B993" s="1" t="s">
        <v>4030</v>
      </c>
      <c r="C993" s="2">
        <v>2023</v>
      </c>
      <c r="D993" s="1" t="s">
        <v>24</v>
      </c>
      <c r="E993" s="2">
        <v>1</v>
      </c>
      <c r="F993" s="1" t="s">
        <v>3249</v>
      </c>
      <c r="G993" s="1"/>
      <c r="H993" s="2">
        <v>0</v>
      </c>
      <c r="I993" s="2">
        <v>20000</v>
      </c>
      <c r="J993" s="1" t="s">
        <v>4031</v>
      </c>
      <c r="K993" s="1" t="s">
        <v>28</v>
      </c>
      <c r="L993" s="1" t="s">
        <v>51</v>
      </c>
      <c r="M993" s="1" t="s">
        <v>52</v>
      </c>
      <c r="N993" s="1" t="s">
        <v>53</v>
      </c>
      <c r="O993" s="1" t="s">
        <v>338</v>
      </c>
      <c r="P993" s="1" t="s">
        <v>45</v>
      </c>
      <c r="Q993" s="1" t="s">
        <v>332</v>
      </c>
      <c r="R993" s="1" t="s">
        <v>55</v>
      </c>
      <c r="S993" s="1" t="s">
        <v>71</v>
      </c>
      <c r="T993" s="3" t="str">
        <f>Sheet4!H993</f>
        <v xml:space="preserve"> View Map </v>
      </c>
    </row>
    <row r="994" spans="1:20" ht="15" x14ac:dyDescent="0.25">
      <c r="A994" s="1" t="s">
        <v>4032</v>
      </c>
      <c r="B994" s="1" t="s">
        <v>4033</v>
      </c>
      <c r="C994" s="2">
        <v>2023</v>
      </c>
      <c r="D994" s="1" t="s">
        <v>24</v>
      </c>
      <c r="E994" s="2">
        <v>1</v>
      </c>
      <c r="F994" s="1" t="s">
        <v>1849</v>
      </c>
      <c r="G994" s="1" t="s">
        <v>1141</v>
      </c>
      <c r="H994" s="2">
        <v>0</v>
      </c>
      <c r="I994" s="2">
        <v>20000</v>
      </c>
      <c r="J994" s="1" t="s">
        <v>4034</v>
      </c>
      <c r="K994" s="1" t="s">
        <v>28</v>
      </c>
      <c r="L994" s="1" t="s">
        <v>51</v>
      </c>
      <c r="M994" s="1" t="s">
        <v>52</v>
      </c>
      <c r="N994" s="1" t="s">
        <v>20</v>
      </c>
      <c r="O994" s="1" t="s">
        <v>43</v>
      </c>
      <c r="P994" s="1" t="s">
        <v>20</v>
      </c>
      <c r="Q994" s="1" t="s">
        <v>21</v>
      </c>
      <c r="R994" s="1" t="s">
        <v>20</v>
      </c>
      <c r="S994" s="1" t="s">
        <v>71</v>
      </c>
      <c r="T994" s="3" t="str">
        <f>Sheet4!H994</f>
        <v xml:space="preserve"> View Map </v>
      </c>
    </row>
    <row r="995" spans="1:20" ht="15" x14ac:dyDescent="0.25">
      <c r="A995" s="1" t="s">
        <v>4035</v>
      </c>
      <c r="B995" s="1" t="s">
        <v>4036</v>
      </c>
      <c r="C995" s="2">
        <v>2023</v>
      </c>
      <c r="D995" s="1" t="s">
        <v>24</v>
      </c>
      <c r="E995" s="2">
        <v>1</v>
      </c>
      <c r="F995" s="1" t="s">
        <v>4037</v>
      </c>
      <c r="G995" s="1" t="s">
        <v>4037</v>
      </c>
      <c r="H995" s="2">
        <v>0</v>
      </c>
      <c r="I995" s="2">
        <v>200</v>
      </c>
      <c r="J995" s="1" t="s">
        <v>4038</v>
      </c>
      <c r="K995" s="1" t="s">
        <v>28</v>
      </c>
      <c r="L995" s="1" t="s">
        <v>68</v>
      </c>
      <c r="M995" s="1" t="s">
        <v>69</v>
      </c>
      <c r="N995" s="1" t="s">
        <v>1652</v>
      </c>
      <c r="O995" s="1" t="s">
        <v>2275</v>
      </c>
      <c r="P995" s="1" t="s">
        <v>162</v>
      </c>
      <c r="Q995" s="1" t="s">
        <v>316</v>
      </c>
      <c r="R995" s="1" t="s">
        <v>784</v>
      </c>
      <c r="S995" s="1" t="s">
        <v>71</v>
      </c>
      <c r="T995" s="3" t="str">
        <f>Sheet4!H995</f>
        <v xml:space="preserve"> View Map </v>
      </c>
    </row>
    <row r="996" spans="1:20" ht="15" x14ac:dyDescent="0.25">
      <c r="A996" s="1" t="s">
        <v>4039</v>
      </c>
      <c r="B996" s="1" t="s">
        <v>4040</v>
      </c>
      <c r="C996" s="2">
        <v>2023</v>
      </c>
      <c r="D996" s="1" t="s">
        <v>24</v>
      </c>
      <c r="E996" s="2">
        <v>1</v>
      </c>
      <c r="F996" s="1" t="s">
        <v>4041</v>
      </c>
      <c r="G996" s="1"/>
      <c r="H996" s="2">
        <v>30</v>
      </c>
      <c r="I996" s="2">
        <v>1750</v>
      </c>
      <c r="J996" s="1" t="s">
        <v>4042</v>
      </c>
      <c r="K996" s="1" t="s">
        <v>28</v>
      </c>
      <c r="L996" s="1" t="s">
        <v>68</v>
      </c>
      <c r="M996" s="1" t="s">
        <v>69</v>
      </c>
      <c r="N996" s="1" t="s">
        <v>1652</v>
      </c>
      <c r="O996" s="1" t="s">
        <v>4043</v>
      </c>
      <c r="P996" s="1" t="s">
        <v>304</v>
      </c>
      <c r="Q996" s="1" t="s">
        <v>432</v>
      </c>
      <c r="R996" s="1" t="s">
        <v>784</v>
      </c>
      <c r="S996" s="1" t="s">
        <v>32</v>
      </c>
      <c r="T996" s="3" t="str">
        <f>Sheet4!H996</f>
        <v xml:space="preserve"> View Map </v>
      </c>
    </row>
    <row r="997" spans="1:20" ht="15" x14ac:dyDescent="0.25">
      <c r="A997" s="1" t="s">
        <v>4044</v>
      </c>
      <c r="B997" s="1" t="s">
        <v>4045</v>
      </c>
      <c r="C997" s="2">
        <v>2023</v>
      </c>
      <c r="D997" s="1" t="s">
        <v>24</v>
      </c>
      <c r="E997" s="2">
        <v>1</v>
      </c>
      <c r="F997" s="1" t="s">
        <v>4046</v>
      </c>
      <c r="G997" s="1"/>
      <c r="H997" s="2">
        <v>0</v>
      </c>
      <c r="I997" s="2">
        <v>32500</v>
      </c>
      <c r="J997" s="1" t="s">
        <v>4047</v>
      </c>
      <c r="K997" s="1" t="s">
        <v>28</v>
      </c>
      <c r="L997" s="1" t="s">
        <v>51</v>
      </c>
      <c r="M997" s="1" t="s">
        <v>159</v>
      </c>
      <c r="N997" s="1" t="s">
        <v>160</v>
      </c>
      <c r="O997" s="1" t="s">
        <v>199</v>
      </c>
      <c r="P997" s="1" t="s">
        <v>153</v>
      </c>
      <c r="Q997" s="1" t="s">
        <v>193</v>
      </c>
      <c r="R997" s="1" t="s">
        <v>188</v>
      </c>
      <c r="S997" s="1" t="s">
        <v>71</v>
      </c>
      <c r="T997" s="3" t="str">
        <f>Sheet4!H997</f>
        <v xml:space="preserve"> View Map </v>
      </c>
    </row>
    <row r="998" spans="1:20" ht="15" x14ac:dyDescent="0.25">
      <c r="A998" s="1" t="s">
        <v>4048</v>
      </c>
      <c r="B998" s="1" t="s">
        <v>4049</v>
      </c>
      <c r="C998" s="2">
        <v>2023</v>
      </c>
      <c r="D998" s="1" t="s">
        <v>24</v>
      </c>
      <c r="E998" s="2">
        <v>1</v>
      </c>
      <c r="F998" s="1" t="s">
        <v>4050</v>
      </c>
      <c r="G998" s="1"/>
      <c r="H998" s="2">
        <v>0</v>
      </c>
      <c r="I998" s="2">
        <v>53320</v>
      </c>
      <c r="J998" s="1" t="s">
        <v>4051</v>
      </c>
      <c r="K998" s="1" t="s">
        <v>28</v>
      </c>
      <c r="L998" s="1" t="s">
        <v>28</v>
      </c>
      <c r="M998" s="1" t="s">
        <v>28</v>
      </c>
      <c r="N998" s="1" t="s">
        <v>53</v>
      </c>
      <c r="O998" s="1" t="s">
        <v>331</v>
      </c>
      <c r="P998" s="1" t="s">
        <v>45</v>
      </c>
      <c r="Q998" s="1" t="s">
        <v>146</v>
      </c>
      <c r="R998" s="1" t="s">
        <v>105</v>
      </c>
      <c r="S998" s="1" t="s">
        <v>71</v>
      </c>
      <c r="T998" s="3" t="str">
        <f>Sheet4!H998</f>
        <v xml:space="preserve"> View Map </v>
      </c>
    </row>
    <row r="999" spans="1:20" ht="15" x14ac:dyDescent="0.25">
      <c r="A999" s="1" t="s">
        <v>4052</v>
      </c>
      <c r="B999" s="1" t="s">
        <v>4053</v>
      </c>
      <c r="C999" s="2">
        <v>2023</v>
      </c>
      <c r="D999" s="1" t="s">
        <v>24</v>
      </c>
      <c r="E999" s="2">
        <v>1</v>
      </c>
      <c r="F999" s="1" t="s">
        <v>4054</v>
      </c>
      <c r="G999" s="1" t="s">
        <v>4055</v>
      </c>
      <c r="H999" s="2">
        <v>0</v>
      </c>
      <c r="I999" s="2">
        <v>50</v>
      </c>
      <c r="J999" s="1" t="s">
        <v>4056</v>
      </c>
      <c r="K999" s="1" t="s">
        <v>28</v>
      </c>
      <c r="L999" s="1" t="s">
        <v>68</v>
      </c>
      <c r="M999" s="1" t="s">
        <v>69</v>
      </c>
      <c r="N999" s="1" t="s">
        <v>322</v>
      </c>
      <c r="O999" s="1" t="s">
        <v>831</v>
      </c>
      <c r="P999" s="1" t="s">
        <v>45</v>
      </c>
      <c r="Q999" s="1" t="s">
        <v>122</v>
      </c>
      <c r="R999" s="1" t="s">
        <v>322</v>
      </c>
      <c r="S999" s="1" t="s">
        <v>71</v>
      </c>
      <c r="T999" s="3" t="str">
        <f>Sheet4!H999</f>
        <v xml:space="preserve"> View Map </v>
      </c>
    </row>
    <row r="1000" spans="1:20" ht="15" x14ac:dyDescent="0.25">
      <c r="A1000" s="1" t="s">
        <v>4057</v>
      </c>
      <c r="B1000" s="1" t="s">
        <v>4058</v>
      </c>
      <c r="C1000" s="2">
        <v>2023</v>
      </c>
      <c r="D1000" s="1" t="s">
        <v>24</v>
      </c>
      <c r="E1000" s="2">
        <v>1</v>
      </c>
      <c r="F1000" s="1" t="s">
        <v>4059</v>
      </c>
      <c r="G1000" s="1"/>
      <c r="H1000" s="2">
        <v>0</v>
      </c>
      <c r="I1000" s="2">
        <v>1000</v>
      </c>
      <c r="J1000" s="1" t="s">
        <v>4060</v>
      </c>
      <c r="K1000" s="1" t="s">
        <v>28</v>
      </c>
      <c r="L1000" s="1" t="s">
        <v>68</v>
      </c>
      <c r="M1000" s="1" t="s">
        <v>69</v>
      </c>
      <c r="N1000" s="1" t="s">
        <v>1652</v>
      </c>
      <c r="O1000" s="1" t="s">
        <v>4061</v>
      </c>
      <c r="P1000" s="1" t="s">
        <v>1652</v>
      </c>
      <c r="Q1000" s="1" t="s">
        <v>1652</v>
      </c>
      <c r="R1000" s="1" t="s">
        <v>1652</v>
      </c>
      <c r="S1000" s="1" t="s">
        <v>71</v>
      </c>
      <c r="T1000" s="3" t="str">
        <f>Sheet4!H1000</f>
        <v xml:space="preserve"> View Map </v>
      </c>
    </row>
    <row r="1001" spans="1:20" ht="15" x14ac:dyDescent="0.25">
      <c r="A1001" s="1" t="s">
        <v>4062</v>
      </c>
      <c r="B1001" s="1" t="s">
        <v>4063</v>
      </c>
      <c r="C1001" s="2">
        <v>2023</v>
      </c>
      <c r="D1001" s="1" t="s">
        <v>24</v>
      </c>
      <c r="E1001" s="2">
        <v>1</v>
      </c>
      <c r="F1001" s="1" t="s">
        <v>2549</v>
      </c>
      <c r="G1001" s="1"/>
      <c r="H1001" s="2">
        <v>0</v>
      </c>
      <c r="I1001" s="2">
        <v>200</v>
      </c>
      <c r="J1001" s="1" t="s">
        <v>4064</v>
      </c>
      <c r="K1001" s="1" t="s">
        <v>28</v>
      </c>
      <c r="L1001" s="1" t="s">
        <v>68</v>
      </c>
      <c r="M1001" s="1" t="s">
        <v>69</v>
      </c>
      <c r="N1001" s="1" t="s">
        <v>162</v>
      </c>
      <c r="O1001" s="1" t="s">
        <v>167</v>
      </c>
      <c r="P1001" s="1" t="s">
        <v>162</v>
      </c>
      <c r="Q1001" s="1" t="s">
        <v>311</v>
      </c>
      <c r="R1001" s="1" t="s">
        <v>162</v>
      </c>
      <c r="S1001" s="1" t="s">
        <v>71</v>
      </c>
      <c r="T1001" s="3" t="str">
        <f>Sheet4!H1001</f>
        <v xml:space="preserve"> View Map </v>
      </c>
    </row>
    <row r="1002" spans="1:20" ht="15" x14ac:dyDescent="0.25">
      <c r="A1002" s="1" t="s">
        <v>4065</v>
      </c>
      <c r="B1002" s="1" t="s">
        <v>4066</v>
      </c>
      <c r="C1002" s="2">
        <v>2023</v>
      </c>
      <c r="D1002" s="1" t="s">
        <v>24</v>
      </c>
      <c r="E1002" s="2">
        <v>1</v>
      </c>
      <c r="F1002" s="1" t="s">
        <v>4067</v>
      </c>
      <c r="G1002" s="1"/>
      <c r="H1002" s="2">
        <v>0</v>
      </c>
      <c r="I1002" s="2">
        <v>100</v>
      </c>
      <c r="J1002" s="1" t="s">
        <v>4068</v>
      </c>
      <c r="K1002" s="1" t="s">
        <v>28</v>
      </c>
      <c r="L1002" s="1" t="s">
        <v>68</v>
      </c>
      <c r="M1002" s="1" t="s">
        <v>69</v>
      </c>
      <c r="N1002" s="1" t="s">
        <v>275</v>
      </c>
      <c r="O1002" s="1" t="s">
        <v>354</v>
      </c>
      <c r="P1002" s="1" t="s">
        <v>275</v>
      </c>
      <c r="Q1002" s="1" t="s">
        <v>348</v>
      </c>
      <c r="R1002" s="1" t="s">
        <v>275</v>
      </c>
      <c r="S1002" s="1" t="s">
        <v>71</v>
      </c>
      <c r="T1002" s="3" t="str">
        <f>Sheet4!H1002</f>
        <v xml:space="preserve"> View Map </v>
      </c>
    </row>
    <row r="1003" spans="1:20" ht="15" x14ac:dyDescent="0.25">
      <c r="A1003" s="1" t="s">
        <v>4069</v>
      </c>
      <c r="B1003" s="1" t="s">
        <v>4070</v>
      </c>
      <c r="C1003" s="2">
        <v>2023</v>
      </c>
      <c r="D1003" s="1" t="s">
        <v>24</v>
      </c>
      <c r="E1003" s="2">
        <v>1</v>
      </c>
      <c r="F1003" s="1" t="s">
        <v>4071</v>
      </c>
      <c r="G1003" s="1"/>
      <c r="H1003" s="2">
        <v>0</v>
      </c>
      <c r="I1003" s="2">
        <v>100</v>
      </c>
      <c r="J1003" s="1" t="s">
        <v>4072</v>
      </c>
      <c r="K1003" s="1" t="s">
        <v>28</v>
      </c>
      <c r="L1003" s="1" t="s">
        <v>51</v>
      </c>
      <c r="M1003" s="1" t="s">
        <v>52</v>
      </c>
      <c r="N1003" s="1" t="s">
        <v>53</v>
      </c>
      <c r="O1003" s="1" t="s">
        <v>1600</v>
      </c>
      <c r="P1003" s="1" t="s">
        <v>45</v>
      </c>
      <c r="Q1003" s="1" t="s">
        <v>53</v>
      </c>
      <c r="R1003" s="1" t="s">
        <v>105</v>
      </c>
      <c r="S1003" s="1" t="s">
        <v>71</v>
      </c>
      <c r="T1003" s="3" t="str">
        <f>Sheet4!H1003</f>
        <v xml:space="preserve"> View Map </v>
      </c>
    </row>
    <row r="1004" spans="1:20" ht="15" x14ac:dyDescent="0.25">
      <c r="A1004" s="1" t="s">
        <v>4073</v>
      </c>
      <c r="B1004" s="1" t="s">
        <v>4074</v>
      </c>
      <c r="C1004" s="2">
        <v>2023</v>
      </c>
      <c r="D1004" s="1" t="s">
        <v>24</v>
      </c>
      <c r="E1004" s="2">
        <v>1</v>
      </c>
      <c r="F1004" s="1" t="s">
        <v>4075</v>
      </c>
      <c r="G1004" s="1"/>
      <c r="H1004" s="2">
        <v>0</v>
      </c>
      <c r="I1004" s="2">
        <v>100</v>
      </c>
      <c r="J1004" s="1" t="s">
        <v>4076</v>
      </c>
      <c r="K1004" s="1" t="s">
        <v>28</v>
      </c>
      <c r="L1004" s="1" t="s">
        <v>68</v>
      </c>
      <c r="M1004" s="1" t="s">
        <v>69</v>
      </c>
      <c r="N1004" s="1" t="s">
        <v>275</v>
      </c>
      <c r="O1004" s="1" t="s">
        <v>1077</v>
      </c>
      <c r="P1004" s="1" t="s">
        <v>304</v>
      </c>
      <c r="Q1004" s="1" t="s">
        <v>386</v>
      </c>
      <c r="R1004" s="1" t="s">
        <v>275</v>
      </c>
      <c r="S1004" s="1" t="s">
        <v>71</v>
      </c>
      <c r="T1004" s="3" t="str">
        <f>Sheet4!H1004</f>
        <v xml:space="preserve"> View Map </v>
      </c>
    </row>
    <row r="1005" spans="1:20" ht="15" x14ac:dyDescent="0.25">
      <c r="A1005" s="1" t="s">
        <v>4077</v>
      </c>
      <c r="B1005" s="1" t="s">
        <v>4078</v>
      </c>
      <c r="C1005" s="2">
        <v>2023</v>
      </c>
      <c r="D1005" s="1" t="s">
        <v>24</v>
      </c>
      <c r="E1005" s="2">
        <v>1</v>
      </c>
      <c r="F1005" s="1" t="s">
        <v>4079</v>
      </c>
      <c r="G1005" s="1" t="s">
        <v>4080</v>
      </c>
      <c r="H1005" s="2">
        <v>0</v>
      </c>
      <c r="I1005" s="2">
        <v>100</v>
      </c>
      <c r="J1005" s="1" t="s">
        <v>4081</v>
      </c>
      <c r="K1005" s="1" t="s">
        <v>28</v>
      </c>
      <c r="L1005" s="1" t="s">
        <v>68</v>
      </c>
      <c r="M1005" s="1" t="s">
        <v>69</v>
      </c>
      <c r="N1005" s="1" t="s">
        <v>309</v>
      </c>
      <c r="O1005" s="1" t="s">
        <v>3571</v>
      </c>
      <c r="P1005" s="1" t="s">
        <v>304</v>
      </c>
      <c r="Q1005" s="1" t="s">
        <v>305</v>
      </c>
      <c r="R1005" s="1" t="s">
        <v>309</v>
      </c>
      <c r="S1005" s="1" t="s">
        <v>71</v>
      </c>
      <c r="T1005" s="3" t="str">
        <f>Sheet4!H1005</f>
        <v xml:space="preserve"> View Map </v>
      </c>
    </row>
    <row r="1006" spans="1:20" ht="15" x14ac:dyDescent="0.25">
      <c r="A1006" s="1" t="s">
        <v>4082</v>
      </c>
      <c r="B1006" s="1" t="s">
        <v>4083</v>
      </c>
      <c r="C1006" s="2">
        <v>2023</v>
      </c>
      <c r="D1006" s="1" t="s">
        <v>24</v>
      </c>
      <c r="E1006" s="2">
        <v>1</v>
      </c>
      <c r="F1006" s="1" t="s">
        <v>4084</v>
      </c>
      <c r="G1006" s="1"/>
      <c r="H1006" s="2">
        <v>0</v>
      </c>
      <c r="I1006" s="2">
        <v>100</v>
      </c>
      <c r="J1006" s="1" t="s">
        <v>4085</v>
      </c>
      <c r="K1006" s="1" t="s">
        <v>28</v>
      </c>
      <c r="L1006" s="1" t="s">
        <v>68</v>
      </c>
      <c r="M1006" s="1" t="s">
        <v>69</v>
      </c>
      <c r="N1006" s="1" t="s">
        <v>309</v>
      </c>
      <c r="O1006" s="1" t="s">
        <v>310</v>
      </c>
      <c r="P1006" s="1" t="s">
        <v>304</v>
      </c>
      <c r="Q1006" s="1" t="s">
        <v>305</v>
      </c>
      <c r="R1006" s="1" t="s">
        <v>28</v>
      </c>
      <c r="S1006" s="1" t="s">
        <v>71</v>
      </c>
      <c r="T1006" s="3" t="str">
        <f>Sheet4!H1006</f>
        <v xml:space="preserve"> View Map </v>
      </c>
    </row>
    <row r="1007" spans="1:20" ht="15" x14ac:dyDescent="0.25">
      <c r="A1007" s="1" t="s">
        <v>4086</v>
      </c>
      <c r="B1007" s="1" t="s">
        <v>4087</v>
      </c>
      <c r="C1007" s="2">
        <v>2023</v>
      </c>
      <c r="D1007" s="1" t="s">
        <v>24</v>
      </c>
      <c r="E1007" s="2">
        <v>1</v>
      </c>
      <c r="F1007" s="1" t="s">
        <v>4088</v>
      </c>
      <c r="G1007" s="1"/>
      <c r="H1007" s="2">
        <v>0</v>
      </c>
      <c r="I1007" s="2">
        <v>100</v>
      </c>
      <c r="J1007" s="1" t="s">
        <v>4089</v>
      </c>
      <c r="K1007" s="1" t="s">
        <v>28</v>
      </c>
      <c r="L1007" s="1" t="s">
        <v>68</v>
      </c>
      <c r="M1007" s="1" t="s">
        <v>69</v>
      </c>
      <c r="N1007" s="1" t="s">
        <v>275</v>
      </c>
      <c r="O1007" s="1" t="s">
        <v>2441</v>
      </c>
      <c r="P1007" s="1" t="s">
        <v>275</v>
      </c>
      <c r="Q1007" s="1" t="s">
        <v>348</v>
      </c>
      <c r="R1007" s="1" t="s">
        <v>275</v>
      </c>
      <c r="S1007" s="1" t="s">
        <v>71</v>
      </c>
      <c r="T1007" s="3" t="str">
        <f>Sheet4!H1007</f>
        <v xml:space="preserve"> View Map </v>
      </c>
    </row>
    <row r="1008" spans="1:20" ht="15" x14ac:dyDescent="0.25">
      <c r="A1008" s="1" t="s">
        <v>4090</v>
      </c>
      <c r="B1008" s="1" t="s">
        <v>4091</v>
      </c>
      <c r="C1008" s="2">
        <v>2023</v>
      </c>
      <c r="D1008" s="1" t="s">
        <v>24</v>
      </c>
      <c r="E1008" s="2">
        <v>1</v>
      </c>
      <c r="F1008" s="1" t="s">
        <v>4092</v>
      </c>
      <c r="G1008" s="1"/>
      <c r="H1008" s="2">
        <v>0</v>
      </c>
      <c r="I1008" s="2">
        <v>100</v>
      </c>
      <c r="J1008" s="1" t="s">
        <v>4093</v>
      </c>
      <c r="K1008" s="1" t="s">
        <v>28</v>
      </c>
      <c r="L1008" s="1" t="s">
        <v>68</v>
      </c>
      <c r="M1008" s="1" t="s">
        <v>69</v>
      </c>
      <c r="N1008" s="1" t="s">
        <v>309</v>
      </c>
      <c r="O1008" s="1" t="s">
        <v>310</v>
      </c>
      <c r="P1008" s="1" t="s">
        <v>304</v>
      </c>
      <c r="Q1008" s="1" t="s">
        <v>305</v>
      </c>
      <c r="R1008" s="1" t="s">
        <v>309</v>
      </c>
      <c r="S1008" s="1" t="s">
        <v>71</v>
      </c>
      <c r="T1008" s="3" t="str">
        <f>Sheet4!H1008</f>
        <v xml:space="preserve"> View Map </v>
      </c>
    </row>
    <row r="1009" spans="1:20" ht="15" x14ac:dyDescent="0.25">
      <c r="A1009" s="1" t="s">
        <v>4094</v>
      </c>
      <c r="B1009" s="1" t="s">
        <v>4095</v>
      </c>
      <c r="C1009" s="2">
        <v>2023</v>
      </c>
      <c r="D1009" s="1" t="s">
        <v>24</v>
      </c>
      <c r="E1009" s="2">
        <v>1</v>
      </c>
      <c r="F1009" s="1" t="s">
        <v>4096</v>
      </c>
      <c r="G1009" s="1"/>
      <c r="H1009" s="2">
        <v>0</v>
      </c>
      <c r="I1009" s="2">
        <v>100</v>
      </c>
      <c r="J1009" s="1" t="s">
        <v>4097</v>
      </c>
      <c r="K1009" s="1" t="s">
        <v>28</v>
      </c>
      <c r="L1009" s="1" t="s">
        <v>68</v>
      </c>
      <c r="M1009" s="1" t="s">
        <v>69</v>
      </c>
      <c r="N1009" s="1" t="s">
        <v>275</v>
      </c>
      <c r="O1009" s="1" t="s">
        <v>282</v>
      </c>
      <c r="P1009" s="1" t="s">
        <v>275</v>
      </c>
      <c r="Q1009" s="1" t="s">
        <v>275</v>
      </c>
      <c r="R1009" s="1" t="s">
        <v>275</v>
      </c>
      <c r="S1009" s="1" t="s">
        <v>71</v>
      </c>
      <c r="T1009" s="3" t="str">
        <f>Sheet4!H1009</f>
        <v xml:space="preserve"> View Map </v>
      </c>
    </row>
    <row r="1010" spans="1:20" ht="15" x14ac:dyDescent="0.25">
      <c r="A1010" s="1" t="s">
        <v>4098</v>
      </c>
      <c r="B1010" s="1" t="s">
        <v>4099</v>
      </c>
      <c r="C1010" s="2">
        <v>2023</v>
      </c>
      <c r="D1010" s="1" t="s">
        <v>24</v>
      </c>
      <c r="E1010" s="2">
        <v>1</v>
      </c>
      <c r="F1010" s="1" t="s">
        <v>4100</v>
      </c>
      <c r="G1010" s="1"/>
      <c r="H1010" s="2">
        <v>0</v>
      </c>
      <c r="I1010" s="2">
        <v>100</v>
      </c>
      <c r="J1010" s="1" t="s">
        <v>4101</v>
      </c>
      <c r="K1010" s="1" t="s">
        <v>28</v>
      </c>
      <c r="L1010" s="1" t="s">
        <v>68</v>
      </c>
      <c r="M1010" s="1" t="s">
        <v>69</v>
      </c>
      <c r="N1010" s="1" t="s">
        <v>162</v>
      </c>
      <c r="O1010" s="1" t="s">
        <v>4102</v>
      </c>
      <c r="P1010" s="1" t="s">
        <v>162</v>
      </c>
      <c r="Q1010" s="1" t="s">
        <v>355</v>
      </c>
      <c r="R1010" s="1" t="s">
        <v>162</v>
      </c>
      <c r="S1010" s="1" t="s">
        <v>71</v>
      </c>
      <c r="T1010" s="3" t="str">
        <f>Sheet4!H1010</f>
        <v xml:space="preserve"> View Map </v>
      </c>
    </row>
    <row r="1011" spans="1:20" ht="15" x14ac:dyDescent="0.25">
      <c r="A1011" s="1" t="s">
        <v>4103</v>
      </c>
      <c r="B1011" s="1" t="s">
        <v>4104</v>
      </c>
      <c r="C1011" s="2">
        <v>2023</v>
      </c>
      <c r="D1011" s="1" t="s">
        <v>24</v>
      </c>
      <c r="E1011" s="2">
        <v>1</v>
      </c>
      <c r="F1011" s="1" t="s">
        <v>4105</v>
      </c>
      <c r="G1011" s="1"/>
      <c r="H1011" s="2">
        <v>0</v>
      </c>
      <c r="I1011" s="2">
        <v>100</v>
      </c>
      <c r="J1011" s="1" t="s">
        <v>4106</v>
      </c>
      <c r="K1011" s="1" t="s">
        <v>28</v>
      </c>
      <c r="L1011" s="1" t="s">
        <v>68</v>
      </c>
      <c r="M1011" s="1" t="s">
        <v>69</v>
      </c>
      <c r="N1011" s="1" t="s">
        <v>275</v>
      </c>
      <c r="O1011" s="1" t="s">
        <v>1060</v>
      </c>
      <c r="P1011" s="1" t="s">
        <v>275</v>
      </c>
      <c r="Q1011" s="1" t="s">
        <v>275</v>
      </c>
      <c r="R1011" s="1" t="s">
        <v>275</v>
      </c>
      <c r="S1011" s="1" t="s">
        <v>71</v>
      </c>
      <c r="T1011" s="3" t="str">
        <f>Sheet4!H1011</f>
        <v xml:space="preserve"> View Map </v>
      </c>
    </row>
    <row r="1012" spans="1:20" ht="15" x14ac:dyDescent="0.25">
      <c r="A1012" s="1" t="s">
        <v>4107</v>
      </c>
      <c r="B1012" s="1" t="s">
        <v>4108</v>
      </c>
      <c r="C1012" s="2">
        <v>2023</v>
      </c>
      <c r="D1012" s="1" t="s">
        <v>24</v>
      </c>
      <c r="E1012" s="2">
        <v>1</v>
      </c>
      <c r="F1012" s="1" t="s">
        <v>4109</v>
      </c>
      <c r="G1012" s="1"/>
      <c r="H1012" s="2">
        <v>0</v>
      </c>
      <c r="I1012" s="2">
        <v>100</v>
      </c>
      <c r="J1012" s="1" t="s">
        <v>4110</v>
      </c>
      <c r="K1012" s="1" t="s">
        <v>28</v>
      </c>
      <c r="L1012" s="1" t="s">
        <v>68</v>
      </c>
      <c r="M1012" s="1" t="s">
        <v>69</v>
      </c>
      <c r="N1012" s="1" t="s">
        <v>309</v>
      </c>
      <c r="O1012" s="1" t="s">
        <v>2332</v>
      </c>
      <c r="P1012" s="1" t="s">
        <v>304</v>
      </c>
      <c r="Q1012" s="1" t="s">
        <v>305</v>
      </c>
      <c r="R1012" s="1" t="s">
        <v>309</v>
      </c>
      <c r="S1012" s="1" t="s">
        <v>71</v>
      </c>
      <c r="T1012" s="3" t="str">
        <f>Sheet4!H1012</f>
        <v xml:space="preserve"> View Map </v>
      </c>
    </row>
    <row r="1013" spans="1:20" ht="15" x14ac:dyDescent="0.25">
      <c r="A1013" s="1" t="s">
        <v>4111</v>
      </c>
      <c r="B1013" s="1" t="s">
        <v>4112</v>
      </c>
      <c r="C1013" s="2">
        <v>2023</v>
      </c>
      <c r="D1013" s="1" t="s">
        <v>24</v>
      </c>
      <c r="E1013" s="2">
        <v>1</v>
      </c>
      <c r="F1013" s="1" t="s">
        <v>4113</v>
      </c>
      <c r="G1013" s="1"/>
      <c r="H1013" s="2">
        <v>0</v>
      </c>
      <c r="I1013" s="2">
        <v>100</v>
      </c>
      <c r="J1013" s="1" t="s">
        <v>4114</v>
      </c>
      <c r="K1013" s="1" t="s">
        <v>28</v>
      </c>
      <c r="L1013" s="1" t="s">
        <v>28</v>
      </c>
      <c r="M1013" s="1" t="s">
        <v>28</v>
      </c>
      <c r="N1013" s="1" t="s">
        <v>275</v>
      </c>
      <c r="O1013" s="1" t="s">
        <v>2526</v>
      </c>
      <c r="P1013" s="1" t="s">
        <v>275</v>
      </c>
      <c r="Q1013" s="1" t="s">
        <v>2132</v>
      </c>
      <c r="R1013" s="1" t="s">
        <v>275</v>
      </c>
      <c r="S1013" s="1" t="s">
        <v>71</v>
      </c>
      <c r="T1013" s="3" t="str">
        <f>Sheet4!H1013</f>
        <v xml:space="preserve"> View Map </v>
      </c>
    </row>
    <row r="1014" spans="1:20" ht="15" x14ac:dyDescent="0.25">
      <c r="A1014" s="1" t="s">
        <v>4115</v>
      </c>
      <c r="B1014" s="1" t="s">
        <v>4116</v>
      </c>
      <c r="C1014" s="2">
        <v>2023</v>
      </c>
      <c r="D1014" s="1" t="s">
        <v>24</v>
      </c>
      <c r="E1014" s="2">
        <v>1</v>
      </c>
      <c r="F1014" s="1" t="s">
        <v>4117</v>
      </c>
      <c r="G1014" s="1"/>
      <c r="H1014" s="2">
        <v>0</v>
      </c>
      <c r="I1014" s="2">
        <v>0</v>
      </c>
      <c r="J1014" s="1" t="s">
        <v>4118</v>
      </c>
      <c r="K1014" s="1" t="s">
        <v>28</v>
      </c>
      <c r="L1014" s="1" t="s">
        <v>68</v>
      </c>
      <c r="M1014" s="1" t="s">
        <v>69</v>
      </c>
      <c r="N1014" s="1" t="s">
        <v>275</v>
      </c>
      <c r="O1014" s="1" t="s">
        <v>391</v>
      </c>
      <c r="P1014" s="1" t="s">
        <v>304</v>
      </c>
      <c r="Q1014" s="1" t="s">
        <v>386</v>
      </c>
      <c r="R1014" s="1" t="s">
        <v>275</v>
      </c>
      <c r="S1014" s="1" t="s">
        <v>71</v>
      </c>
      <c r="T1014" s="3" t="str">
        <f>Sheet4!H1014</f>
        <v xml:space="preserve"> View Map </v>
      </c>
    </row>
    <row r="1015" spans="1:20" ht="15" x14ac:dyDescent="0.25">
      <c r="A1015" s="1" t="s">
        <v>4119</v>
      </c>
      <c r="B1015" s="1" t="s">
        <v>4120</v>
      </c>
      <c r="C1015" s="2">
        <v>2023</v>
      </c>
      <c r="D1015" s="1" t="s">
        <v>24</v>
      </c>
      <c r="E1015" s="2">
        <v>1</v>
      </c>
      <c r="F1015" s="1" t="s">
        <v>4121</v>
      </c>
      <c r="G1015" s="1"/>
      <c r="H1015" s="2">
        <v>0</v>
      </c>
      <c r="I1015" s="2">
        <v>0</v>
      </c>
      <c r="J1015" s="1" t="s">
        <v>4122</v>
      </c>
      <c r="K1015" s="1" t="s">
        <v>28</v>
      </c>
      <c r="L1015" s="1" t="s">
        <v>68</v>
      </c>
      <c r="M1015" s="1" t="s">
        <v>69</v>
      </c>
      <c r="N1015" s="1" t="s">
        <v>309</v>
      </c>
      <c r="O1015" s="1" t="s">
        <v>2332</v>
      </c>
      <c r="P1015" s="1" t="s">
        <v>304</v>
      </c>
      <c r="Q1015" s="1" t="s">
        <v>305</v>
      </c>
      <c r="R1015" s="1" t="s">
        <v>309</v>
      </c>
      <c r="S1015" s="1" t="s">
        <v>71</v>
      </c>
      <c r="T1015" s="3" t="str">
        <f>Sheet4!H1015</f>
        <v xml:space="preserve"> View Map </v>
      </c>
    </row>
    <row r="1016" spans="1:20" ht="15" x14ac:dyDescent="0.25">
      <c r="A1016" s="1" t="s">
        <v>4123</v>
      </c>
      <c r="B1016" s="1" t="s">
        <v>4124</v>
      </c>
      <c r="C1016" s="2">
        <v>2023</v>
      </c>
      <c r="D1016" s="1" t="s">
        <v>24</v>
      </c>
      <c r="E1016" s="2">
        <v>1</v>
      </c>
      <c r="F1016" s="1" t="s">
        <v>4125</v>
      </c>
      <c r="G1016" s="1"/>
      <c r="H1016" s="2">
        <v>0</v>
      </c>
      <c r="I1016" s="2">
        <v>100</v>
      </c>
      <c r="J1016" s="1" t="s">
        <v>4126</v>
      </c>
      <c r="K1016" s="1" t="s">
        <v>28</v>
      </c>
      <c r="L1016" s="1" t="s">
        <v>68</v>
      </c>
      <c r="M1016" s="1" t="s">
        <v>69</v>
      </c>
      <c r="N1016" s="1" t="s">
        <v>275</v>
      </c>
      <c r="O1016" s="1" t="s">
        <v>391</v>
      </c>
      <c r="P1016" s="1" t="s">
        <v>304</v>
      </c>
      <c r="Q1016" s="1" t="s">
        <v>386</v>
      </c>
      <c r="R1016" s="1" t="s">
        <v>275</v>
      </c>
      <c r="S1016" s="1" t="s">
        <v>71</v>
      </c>
      <c r="T1016" s="3" t="str">
        <f>Sheet4!H1016</f>
        <v xml:space="preserve"> View Map </v>
      </c>
    </row>
    <row r="1017" spans="1:20" ht="15" x14ac:dyDescent="0.25">
      <c r="A1017" s="1" t="s">
        <v>4127</v>
      </c>
      <c r="B1017" s="1" t="s">
        <v>4128</v>
      </c>
      <c r="C1017" s="2">
        <v>2023</v>
      </c>
      <c r="D1017" s="1" t="s">
        <v>24</v>
      </c>
      <c r="E1017" s="2">
        <v>1</v>
      </c>
      <c r="F1017" s="1" t="s">
        <v>4129</v>
      </c>
      <c r="G1017" s="1"/>
      <c r="H1017" s="2">
        <v>0</v>
      </c>
      <c r="I1017" s="2">
        <v>100</v>
      </c>
      <c r="J1017" s="1" t="s">
        <v>4130</v>
      </c>
      <c r="K1017" s="1" t="s">
        <v>28</v>
      </c>
      <c r="L1017" s="1" t="s">
        <v>68</v>
      </c>
      <c r="M1017" s="1" t="s">
        <v>69</v>
      </c>
      <c r="N1017" s="1" t="s">
        <v>162</v>
      </c>
      <c r="O1017" s="1" t="s">
        <v>323</v>
      </c>
      <c r="P1017" s="1" t="s">
        <v>162</v>
      </c>
      <c r="Q1017" s="1" t="s">
        <v>316</v>
      </c>
      <c r="R1017" s="1" t="s">
        <v>162</v>
      </c>
      <c r="S1017" s="1" t="s">
        <v>71</v>
      </c>
      <c r="T1017" s="3" t="str">
        <f>Sheet4!H1017</f>
        <v xml:space="preserve"> View Map </v>
      </c>
    </row>
    <row r="1018" spans="1:20" ht="15" x14ac:dyDescent="0.25">
      <c r="A1018" s="1" t="s">
        <v>4131</v>
      </c>
      <c r="B1018" s="1" t="s">
        <v>4132</v>
      </c>
      <c r="C1018" s="2">
        <v>2023</v>
      </c>
      <c r="D1018" s="1" t="s">
        <v>24</v>
      </c>
      <c r="E1018" s="2">
        <v>1</v>
      </c>
      <c r="F1018" s="1" t="s">
        <v>4133</v>
      </c>
      <c r="G1018" s="1" t="s">
        <v>398</v>
      </c>
      <c r="H1018" s="2">
        <v>0</v>
      </c>
      <c r="I1018" s="2">
        <v>100</v>
      </c>
      <c r="J1018" s="1" t="s">
        <v>4134</v>
      </c>
      <c r="K1018" s="1" t="s">
        <v>28</v>
      </c>
      <c r="L1018" s="1" t="s">
        <v>68</v>
      </c>
      <c r="M1018" s="1" t="s">
        <v>69</v>
      </c>
      <c r="N1018" s="1" t="s">
        <v>275</v>
      </c>
      <c r="O1018" s="1" t="s">
        <v>78</v>
      </c>
      <c r="P1018" s="1" t="s">
        <v>72</v>
      </c>
      <c r="Q1018" s="1" t="s">
        <v>73</v>
      </c>
      <c r="R1018" s="1" t="s">
        <v>72</v>
      </c>
      <c r="S1018" s="1" t="s">
        <v>71</v>
      </c>
      <c r="T1018" s="3" t="str">
        <f>Sheet4!H1018</f>
        <v xml:space="preserve"> View Map </v>
      </c>
    </row>
    <row r="1019" spans="1:20" ht="15" x14ac:dyDescent="0.25">
      <c r="A1019" s="1" t="s">
        <v>4135</v>
      </c>
      <c r="B1019" s="1" t="s">
        <v>4136</v>
      </c>
      <c r="C1019" s="2">
        <v>2024</v>
      </c>
      <c r="D1019" s="1" t="s">
        <v>24</v>
      </c>
      <c r="E1019" s="2">
        <v>1</v>
      </c>
      <c r="F1019" s="1" t="s">
        <v>4137</v>
      </c>
      <c r="G1019" s="1" t="s">
        <v>4137</v>
      </c>
      <c r="H1019" s="2">
        <v>985</v>
      </c>
      <c r="I1019" s="2">
        <v>12000</v>
      </c>
      <c r="J1019" s="1" t="s">
        <v>4138</v>
      </c>
      <c r="K1019" s="1" t="s">
        <v>28</v>
      </c>
      <c r="L1019" s="1" t="s">
        <v>29</v>
      </c>
      <c r="M1019" s="1" t="s">
        <v>30</v>
      </c>
      <c r="N1019" s="1" t="s">
        <v>20</v>
      </c>
      <c r="O1019" s="1" t="s">
        <v>291</v>
      </c>
      <c r="P1019" s="1" t="s">
        <v>20</v>
      </c>
      <c r="Q1019" s="1" t="s">
        <v>21</v>
      </c>
      <c r="R1019" s="1" t="s">
        <v>20</v>
      </c>
      <c r="S1019" s="1" t="s">
        <v>71</v>
      </c>
      <c r="T1019" s="3" t="str">
        <f>Sheet4!H1019</f>
        <v xml:space="preserve"> View Map </v>
      </c>
    </row>
    <row r="1020" spans="1:20" ht="15" x14ac:dyDescent="0.25">
      <c r="A1020" s="1" t="s">
        <v>4139</v>
      </c>
      <c r="B1020" s="1" t="s">
        <v>4140</v>
      </c>
      <c r="C1020" s="2">
        <v>2024</v>
      </c>
      <c r="D1020" s="1" t="s">
        <v>24</v>
      </c>
      <c r="E1020" s="2">
        <v>1</v>
      </c>
      <c r="F1020" s="1" t="s">
        <v>3249</v>
      </c>
      <c r="G1020" s="1"/>
      <c r="H1020" s="2">
        <v>0</v>
      </c>
      <c r="I1020" s="2">
        <v>76000</v>
      </c>
      <c r="J1020" s="1" t="s">
        <v>4141</v>
      </c>
      <c r="K1020" s="1" t="s">
        <v>28</v>
      </c>
      <c r="L1020" s="1" t="s">
        <v>68</v>
      </c>
      <c r="M1020" s="1" t="s">
        <v>69</v>
      </c>
      <c r="N1020" s="1" t="s">
        <v>53</v>
      </c>
      <c r="O1020" s="1" t="s">
        <v>338</v>
      </c>
      <c r="P1020" s="1" t="s">
        <v>45</v>
      </c>
      <c r="Q1020" s="1" t="s">
        <v>332</v>
      </c>
      <c r="R1020" s="1" t="s">
        <v>105</v>
      </c>
      <c r="S1020" s="1" t="s">
        <v>71</v>
      </c>
      <c r="T1020" s="3" t="str">
        <f>Sheet4!H1020</f>
        <v xml:space="preserve"> View Map </v>
      </c>
    </row>
    <row r="1021" spans="1:20" ht="15" x14ac:dyDescent="0.25">
      <c r="A1021" s="1" t="s">
        <v>4142</v>
      </c>
      <c r="B1021" s="1" t="s">
        <v>4143</v>
      </c>
      <c r="C1021" s="2">
        <v>2024</v>
      </c>
      <c r="D1021" s="1" t="s">
        <v>24</v>
      </c>
      <c r="E1021" s="2">
        <v>1</v>
      </c>
      <c r="F1021" s="1" t="s">
        <v>4144</v>
      </c>
      <c r="G1021" s="1" t="s">
        <v>4145</v>
      </c>
      <c r="H1021" s="2">
        <v>0</v>
      </c>
      <c r="I1021" s="2">
        <v>7400</v>
      </c>
      <c r="J1021" s="1" t="s">
        <v>4146</v>
      </c>
      <c r="K1021" s="1" t="s">
        <v>28</v>
      </c>
      <c r="L1021" s="1" t="s">
        <v>68</v>
      </c>
      <c r="M1021" s="1" t="s">
        <v>69</v>
      </c>
      <c r="N1021" s="1" t="s">
        <v>309</v>
      </c>
      <c r="O1021" s="1" t="s">
        <v>437</v>
      </c>
      <c r="P1021" s="1" t="s">
        <v>304</v>
      </c>
      <c r="Q1021" s="1" t="s">
        <v>432</v>
      </c>
      <c r="R1021" s="1" t="s">
        <v>309</v>
      </c>
      <c r="S1021" s="1" t="s">
        <v>71</v>
      </c>
      <c r="T1021" s="3" t="str">
        <f>Sheet4!H1021</f>
        <v xml:space="preserve"> View Map </v>
      </c>
    </row>
    <row r="1022" spans="1:20" ht="15" x14ac:dyDescent="0.25">
      <c r="A1022" s="1" t="s">
        <v>4147</v>
      </c>
      <c r="B1022" s="1" t="s">
        <v>4148</v>
      </c>
      <c r="C1022" s="2">
        <v>2024</v>
      </c>
      <c r="D1022" s="1" t="s">
        <v>24</v>
      </c>
      <c r="E1022" s="2">
        <v>1</v>
      </c>
      <c r="F1022" s="1" t="s">
        <v>4149</v>
      </c>
      <c r="G1022" s="1" t="s">
        <v>4150</v>
      </c>
      <c r="H1022" s="2">
        <v>0</v>
      </c>
      <c r="I1022" s="2">
        <v>30000</v>
      </c>
      <c r="J1022" s="1" t="s">
        <v>4151</v>
      </c>
      <c r="K1022" s="1" t="s">
        <v>28</v>
      </c>
      <c r="L1022" s="1" t="s">
        <v>68</v>
      </c>
      <c r="M1022" s="1" t="s">
        <v>69</v>
      </c>
      <c r="N1022" s="1" t="s">
        <v>309</v>
      </c>
      <c r="O1022" s="1" t="s">
        <v>2332</v>
      </c>
      <c r="P1022" s="1" t="s">
        <v>304</v>
      </c>
      <c r="Q1022" s="1" t="s">
        <v>305</v>
      </c>
      <c r="R1022" s="1" t="s">
        <v>309</v>
      </c>
      <c r="S1022" s="1" t="s">
        <v>71</v>
      </c>
      <c r="T1022" s="3" t="str">
        <f>Sheet4!H1022</f>
        <v xml:space="preserve"> View Map </v>
      </c>
    </row>
    <row r="1023" spans="1:20" ht="15" x14ac:dyDescent="0.25">
      <c r="A1023" s="1" t="s">
        <v>4152</v>
      </c>
      <c r="B1023" s="1" t="s">
        <v>4153</v>
      </c>
      <c r="C1023" s="2">
        <v>2024</v>
      </c>
      <c r="D1023" s="1" t="s">
        <v>24</v>
      </c>
      <c r="E1023" s="2">
        <v>1</v>
      </c>
      <c r="F1023" s="1" t="s">
        <v>4154</v>
      </c>
      <c r="G1023" s="1"/>
      <c r="H1023" s="2">
        <v>0</v>
      </c>
      <c r="I1023" s="2">
        <v>100</v>
      </c>
      <c r="J1023" s="1" t="s">
        <v>4155</v>
      </c>
      <c r="K1023" s="1" t="s">
        <v>28</v>
      </c>
      <c r="L1023" s="1" t="s">
        <v>68</v>
      </c>
      <c r="M1023" s="1" t="s">
        <v>69</v>
      </c>
      <c r="N1023" s="1" t="s">
        <v>1652</v>
      </c>
      <c r="O1023" s="1" t="s">
        <v>4156</v>
      </c>
      <c r="P1023" s="1" t="s">
        <v>1652</v>
      </c>
      <c r="Q1023" s="1" t="s">
        <v>1652</v>
      </c>
      <c r="R1023" s="1" t="s">
        <v>1652</v>
      </c>
      <c r="S1023" s="1" t="s">
        <v>71</v>
      </c>
      <c r="T1023" s="3" t="str">
        <f>Sheet4!H1023</f>
        <v xml:space="preserve"> View Map </v>
      </c>
    </row>
    <row r="1024" spans="1:20" ht="15" x14ac:dyDescent="0.25">
      <c r="A1024" s="1" t="s">
        <v>4157</v>
      </c>
      <c r="B1024" s="1" t="s">
        <v>4158</v>
      </c>
      <c r="C1024" s="2">
        <v>2024</v>
      </c>
      <c r="D1024" s="1" t="s">
        <v>24</v>
      </c>
      <c r="E1024" s="2">
        <v>1</v>
      </c>
      <c r="F1024" s="1" t="s">
        <v>1568</v>
      </c>
      <c r="G1024" s="1"/>
      <c r="H1024" s="2">
        <v>0</v>
      </c>
      <c r="I1024" s="2">
        <v>39120</v>
      </c>
      <c r="J1024" s="1" t="s">
        <v>4159</v>
      </c>
      <c r="K1024" s="1" t="s">
        <v>28</v>
      </c>
      <c r="L1024" s="1" t="s">
        <v>68</v>
      </c>
      <c r="M1024" s="1" t="s">
        <v>69</v>
      </c>
      <c r="N1024" s="1" t="s">
        <v>162</v>
      </c>
      <c r="O1024" s="1" t="s">
        <v>1568</v>
      </c>
      <c r="P1024" s="1" t="s">
        <v>162</v>
      </c>
      <c r="Q1024" s="1" t="s">
        <v>162</v>
      </c>
      <c r="R1024" s="1" t="s">
        <v>162</v>
      </c>
      <c r="S1024" s="1" t="s">
        <v>71</v>
      </c>
      <c r="T1024" s="3" t="str">
        <f>Sheet4!H1024</f>
        <v xml:space="preserve"> View Map </v>
      </c>
    </row>
    <row r="1025" spans="1:20" ht="15" x14ac:dyDescent="0.25">
      <c r="A1025" s="1" t="s">
        <v>4160</v>
      </c>
      <c r="B1025" s="1" t="s">
        <v>4161</v>
      </c>
      <c r="C1025" s="2">
        <v>2024</v>
      </c>
      <c r="D1025" s="1" t="s">
        <v>24</v>
      </c>
      <c r="E1025" s="2">
        <v>1</v>
      </c>
      <c r="F1025" s="1" t="s">
        <v>4162</v>
      </c>
      <c r="G1025" s="1" t="s">
        <v>4162</v>
      </c>
      <c r="H1025" s="2">
        <v>0</v>
      </c>
      <c r="I1025" s="2">
        <v>100</v>
      </c>
      <c r="J1025" s="1" t="s">
        <v>4163</v>
      </c>
      <c r="K1025" s="1" t="s">
        <v>28</v>
      </c>
      <c r="L1025" s="1" t="s">
        <v>51</v>
      </c>
      <c r="M1025" s="1" t="s">
        <v>159</v>
      </c>
      <c r="N1025" s="1" t="s">
        <v>162</v>
      </c>
      <c r="O1025" s="1" t="s">
        <v>693</v>
      </c>
      <c r="P1025" s="1" t="s">
        <v>162</v>
      </c>
      <c r="Q1025" s="1" t="s">
        <v>516</v>
      </c>
      <c r="R1025" s="1" t="s">
        <v>516</v>
      </c>
      <c r="S1025" s="1" t="s">
        <v>71</v>
      </c>
      <c r="T1025" s="3" t="str">
        <f>Sheet4!H1025</f>
        <v xml:space="preserve"> View Map </v>
      </c>
    </row>
    <row r="1026" spans="1:20" ht="15" x14ac:dyDescent="0.25">
      <c r="A1026" s="1" t="s">
        <v>4164</v>
      </c>
      <c r="B1026" s="1" t="s">
        <v>4165</v>
      </c>
      <c r="C1026" s="2">
        <v>2024</v>
      </c>
      <c r="D1026" s="1" t="s">
        <v>24</v>
      </c>
      <c r="E1026" s="2">
        <v>1</v>
      </c>
      <c r="F1026" s="1" t="s">
        <v>4166</v>
      </c>
      <c r="G1026" s="1" t="s">
        <v>4167</v>
      </c>
      <c r="H1026" s="2">
        <v>0</v>
      </c>
      <c r="I1026" s="2">
        <v>100</v>
      </c>
      <c r="J1026" s="1" t="s">
        <v>4168</v>
      </c>
      <c r="K1026" s="1" t="s">
        <v>28</v>
      </c>
      <c r="L1026" s="1" t="s">
        <v>68</v>
      </c>
      <c r="M1026" s="1" t="s">
        <v>28</v>
      </c>
      <c r="N1026" s="1" t="s">
        <v>72</v>
      </c>
      <c r="O1026" s="1" t="s">
        <v>2419</v>
      </c>
      <c r="P1026" s="1" t="s">
        <v>72</v>
      </c>
      <c r="Q1026" s="1" t="s">
        <v>811</v>
      </c>
      <c r="R1026" s="1" t="s">
        <v>72</v>
      </c>
      <c r="S1026" s="1" t="s">
        <v>71</v>
      </c>
      <c r="T1026" s="3" t="str">
        <f>Sheet4!H1026</f>
        <v xml:space="preserve"> View Map </v>
      </c>
    </row>
    <row r="1027" spans="1:20" ht="15" x14ac:dyDescent="0.25">
      <c r="A1027" s="1" t="s">
        <v>4169</v>
      </c>
      <c r="B1027" s="1" t="s">
        <v>4170</v>
      </c>
      <c r="C1027" s="2">
        <v>2024</v>
      </c>
      <c r="D1027" s="1" t="s">
        <v>24</v>
      </c>
      <c r="E1027" s="2">
        <v>1</v>
      </c>
      <c r="F1027" s="1" t="s">
        <v>4171</v>
      </c>
      <c r="G1027" s="1" t="s">
        <v>4172</v>
      </c>
      <c r="H1027" s="2">
        <v>0</v>
      </c>
      <c r="I1027" s="2">
        <v>100</v>
      </c>
      <c r="J1027" s="1" t="s">
        <v>4173</v>
      </c>
      <c r="K1027" s="1" t="s">
        <v>28</v>
      </c>
      <c r="L1027" s="1" t="s">
        <v>51</v>
      </c>
      <c r="M1027" s="1" t="s">
        <v>52</v>
      </c>
      <c r="N1027" s="1" t="s">
        <v>53</v>
      </c>
      <c r="O1027" s="1" t="s">
        <v>84</v>
      </c>
      <c r="P1027" s="1" t="s">
        <v>45</v>
      </c>
      <c r="Q1027" s="1" t="s">
        <v>45</v>
      </c>
      <c r="R1027" s="1" t="s">
        <v>55</v>
      </c>
      <c r="S1027" s="1" t="s">
        <v>71</v>
      </c>
      <c r="T1027" s="3" t="str">
        <f>Sheet4!H1027</f>
        <v xml:space="preserve"> View Map </v>
      </c>
    </row>
    <row r="1028" spans="1:20" ht="15" x14ac:dyDescent="0.25">
      <c r="A1028" s="1" t="s">
        <v>4174</v>
      </c>
      <c r="B1028" s="1" t="s">
        <v>4175</v>
      </c>
      <c r="C1028" s="2">
        <v>2024</v>
      </c>
      <c r="D1028" s="1" t="s">
        <v>24</v>
      </c>
      <c r="E1028" s="2">
        <v>1</v>
      </c>
      <c r="F1028" s="1" t="s">
        <v>4176</v>
      </c>
      <c r="G1028" s="1" t="s">
        <v>1825</v>
      </c>
      <c r="H1028" s="2">
        <v>0</v>
      </c>
      <c r="I1028" s="2">
        <v>1000</v>
      </c>
      <c r="J1028" s="1" t="s">
        <v>4177</v>
      </c>
      <c r="K1028" s="1" t="s">
        <v>28</v>
      </c>
      <c r="L1028" s="1" t="s">
        <v>68</v>
      </c>
      <c r="M1028" s="1" t="s">
        <v>69</v>
      </c>
      <c r="N1028" s="1" t="s">
        <v>275</v>
      </c>
      <c r="O1028" s="1" t="s">
        <v>1077</v>
      </c>
      <c r="P1028" s="1" t="s">
        <v>304</v>
      </c>
      <c r="Q1028" s="1" t="s">
        <v>386</v>
      </c>
      <c r="R1028" s="1" t="s">
        <v>275</v>
      </c>
      <c r="S1028" s="1" t="s">
        <v>71</v>
      </c>
      <c r="T1028" s="3" t="str">
        <f>Sheet4!H1028</f>
        <v xml:space="preserve"> View Map </v>
      </c>
    </row>
    <row r="1029" spans="1:20" ht="15" x14ac:dyDescent="0.25">
      <c r="A1029" s="1" t="s">
        <v>4178</v>
      </c>
      <c r="B1029" s="1" t="s">
        <v>4179</v>
      </c>
      <c r="C1029" s="2">
        <v>2024</v>
      </c>
      <c r="D1029" s="1" t="s">
        <v>24</v>
      </c>
      <c r="E1029" s="2">
        <v>1</v>
      </c>
      <c r="F1029" s="1" t="s">
        <v>4180</v>
      </c>
      <c r="G1029" s="1" t="s">
        <v>4180</v>
      </c>
      <c r="H1029" s="2">
        <v>0</v>
      </c>
      <c r="I1029" s="2">
        <v>100</v>
      </c>
      <c r="J1029" s="1" t="s">
        <v>4181</v>
      </c>
      <c r="K1029" s="1" t="s">
        <v>28</v>
      </c>
      <c r="L1029" s="1" t="s">
        <v>68</v>
      </c>
      <c r="M1029" s="1" t="s">
        <v>28</v>
      </c>
      <c r="N1029" s="1" t="s">
        <v>162</v>
      </c>
      <c r="O1029" s="1" t="s">
        <v>3629</v>
      </c>
      <c r="P1029" s="1" t="s">
        <v>162</v>
      </c>
      <c r="Q1029" s="1" t="s">
        <v>162</v>
      </c>
      <c r="R1029" s="1" t="s">
        <v>162</v>
      </c>
      <c r="S1029" s="1" t="s">
        <v>71</v>
      </c>
      <c r="T1029" s="3" t="str">
        <f>Sheet4!H1029</f>
        <v xml:space="preserve"> View Map </v>
      </c>
    </row>
    <row r="1030" spans="1:20" ht="15" x14ac:dyDescent="0.25">
      <c r="A1030" s="1" t="s">
        <v>4182</v>
      </c>
      <c r="B1030" s="1" t="s">
        <v>4183</v>
      </c>
      <c r="C1030" s="2">
        <v>2024</v>
      </c>
      <c r="D1030" s="1" t="s">
        <v>24</v>
      </c>
      <c r="E1030" s="2">
        <v>1</v>
      </c>
      <c r="F1030" s="1" t="s">
        <v>3595</v>
      </c>
      <c r="G1030" s="1" t="s">
        <v>3595</v>
      </c>
      <c r="H1030" s="2">
        <v>0</v>
      </c>
      <c r="I1030" s="2">
        <v>100</v>
      </c>
      <c r="J1030" s="1" t="s">
        <v>4184</v>
      </c>
      <c r="K1030" s="1" t="s">
        <v>28</v>
      </c>
      <c r="L1030" s="1" t="s">
        <v>68</v>
      </c>
      <c r="M1030" s="1" t="s">
        <v>69</v>
      </c>
      <c r="N1030" s="1" t="s">
        <v>309</v>
      </c>
      <c r="O1030" s="1" t="s">
        <v>2332</v>
      </c>
      <c r="P1030" s="1" t="s">
        <v>304</v>
      </c>
      <c r="Q1030" s="1" t="s">
        <v>305</v>
      </c>
      <c r="R1030" s="1" t="s">
        <v>309</v>
      </c>
      <c r="S1030" s="1" t="s">
        <v>71</v>
      </c>
      <c r="T1030" s="3" t="str">
        <f>Sheet4!H1030</f>
        <v xml:space="preserve"> View Map </v>
      </c>
    </row>
    <row r="1031" spans="1:20" ht="15" x14ac:dyDescent="0.25">
      <c r="A1031" s="1" t="s">
        <v>4185</v>
      </c>
      <c r="B1031" s="1" t="s">
        <v>4186</v>
      </c>
      <c r="C1031" s="2">
        <v>2024</v>
      </c>
      <c r="D1031" s="1" t="s">
        <v>24</v>
      </c>
      <c r="E1031" s="2">
        <v>1</v>
      </c>
      <c r="F1031" s="1" t="s">
        <v>4187</v>
      </c>
      <c r="G1031" s="1" t="s">
        <v>4188</v>
      </c>
      <c r="H1031" s="2">
        <v>0</v>
      </c>
      <c r="I1031" s="2">
        <v>30</v>
      </c>
      <c r="J1031" s="1" t="s">
        <v>4189</v>
      </c>
      <c r="K1031" s="1" t="s">
        <v>28</v>
      </c>
      <c r="L1031" s="1" t="s">
        <v>29</v>
      </c>
      <c r="M1031" s="1" t="s">
        <v>30</v>
      </c>
      <c r="N1031" s="1" t="s">
        <v>20</v>
      </c>
      <c r="O1031" s="1" t="s">
        <v>4190</v>
      </c>
      <c r="P1031" s="1" t="s">
        <v>45</v>
      </c>
      <c r="Q1031" s="1" t="s">
        <v>53</v>
      </c>
      <c r="R1031" s="1" t="s">
        <v>20</v>
      </c>
      <c r="S1031" s="1" t="s">
        <v>71</v>
      </c>
      <c r="T1031" s="3" t="str">
        <f>Sheet4!H1031</f>
        <v xml:space="preserve"> View Map </v>
      </c>
    </row>
    <row r="1032" spans="1:20" ht="15" x14ac:dyDescent="0.25">
      <c r="A1032" s="1" t="s">
        <v>4191</v>
      </c>
      <c r="B1032" s="1" t="s">
        <v>4192</v>
      </c>
      <c r="C1032" s="2">
        <v>2024</v>
      </c>
      <c r="D1032" s="1" t="s">
        <v>24</v>
      </c>
      <c r="E1032" s="2">
        <v>1</v>
      </c>
      <c r="F1032" s="1" t="s">
        <v>4193</v>
      </c>
      <c r="G1032" s="1" t="s">
        <v>2603</v>
      </c>
      <c r="H1032" s="2">
        <v>0</v>
      </c>
      <c r="I1032" s="2">
        <v>100</v>
      </c>
      <c r="J1032" s="1" t="s">
        <v>4194</v>
      </c>
      <c r="K1032" s="1" t="s">
        <v>28</v>
      </c>
      <c r="L1032" s="1" t="s">
        <v>68</v>
      </c>
      <c r="M1032" s="1" t="s">
        <v>69</v>
      </c>
      <c r="N1032" s="1" t="s">
        <v>275</v>
      </c>
      <c r="O1032" s="1" t="s">
        <v>391</v>
      </c>
      <c r="P1032" s="1" t="s">
        <v>304</v>
      </c>
      <c r="Q1032" s="1" t="s">
        <v>386</v>
      </c>
      <c r="R1032" s="1" t="s">
        <v>275</v>
      </c>
      <c r="S1032" s="1" t="s">
        <v>71</v>
      </c>
      <c r="T1032" s="3" t="str">
        <f>Sheet4!H1032</f>
        <v xml:space="preserve"> View Map </v>
      </c>
    </row>
    <row r="1033" spans="1:20" ht="15" x14ac:dyDescent="0.25">
      <c r="A1033" s="1" t="s">
        <v>4195</v>
      </c>
      <c r="B1033" s="1" t="s">
        <v>4196</v>
      </c>
      <c r="C1033" s="2">
        <v>2024</v>
      </c>
      <c r="D1033" s="1" t="s">
        <v>24</v>
      </c>
      <c r="E1033" s="2">
        <v>1</v>
      </c>
      <c r="F1033" s="1" t="s">
        <v>4197</v>
      </c>
      <c r="G1033" s="1" t="s">
        <v>4198</v>
      </c>
      <c r="H1033" s="2">
        <v>0</v>
      </c>
      <c r="I1033" s="2">
        <v>100</v>
      </c>
      <c r="J1033" s="1" t="s">
        <v>4199</v>
      </c>
      <c r="K1033" s="1" t="s">
        <v>28</v>
      </c>
      <c r="L1033" s="1" t="s">
        <v>68</v>
      </c>
      <c r="M1033" s="1" t="s">
        <v>69</v>
      </c>
      <c r="N1033" s="1" t="s">
        <v>162</v>
      </c>
      <c r="O1033" s="1" t="s">
        <v>360</v>
      </c>
      <c r="P1033" s="1" t="s">
        <v>162</v>
      </c>
      <c r="Q1033" s="1" t="s">
        <v>355</v>
      </c>
      <c r="R1033" s="1" t="s">
        <v>561</v>
      </c>
      <c r="S1033" s="1" t="s">
        <v>71</v>
      </c>
      <c r="T1033" s="3" t="str">
        <f>Sheet4!H1033</f>
        <v xml:space="preserve"> View Map </v>
      </c>
    </row>
    <row r="1034" spans="1:20" ht="15" x14ac:dyDescent="0.25">
      <c r="A1034" s="1" t="s">
        <v>4200</v>
      </c>
      <c r="B1034" s="1" t="s">
        <v>4201</v>
      </c>
      <c r="C1034" s="2">
        <v>2024</v>
      </c>
      <c r="D1034" s="1" t="s">
        <v>24</v>
      </c>
      <c r="E1034" s="2">
        <v>1</v>
      </c>
      <c r="F1034" s="1" t="s">
        <v>4202</v>
      </c>
      <c r="G1034" s="1" t="s">
        <v>4202</v>
      </c>
      <c r="H1034" s="2">
        <v>0</v>
      </c>
      <c r="I1034" s="2">
        <v>100</v>
      </c>
      <c r="J1034" s="1" t="s">
        <v>4203</v>
      </c>
      <c r="K1034" s="1" t="s">
        <v>28</v>
      </c>
      <c r="L1034" s="1" t="s">
        <v>51</v>
      </c>
      <c r="M1034" s="1" t="s">
        <v>52</v>
      </c>
      <c r="N1034" s="1" t="s">
        <v>53</v>
      </c>
      <c r="O1034" s="1" t="s">
        <v>84</v>
      </c>
      <c r="P1034" s="1" t="s">
        <v>45</v>
      </c>
      <c r="Q1034" s="1" t="s">
        <v>45</v>
      </c>
      <c r="R1034" s="1" t="s">
        <v>55</v>
      </c>
      <c r="S1034" s="1" t="s">
        <v>71</v>
      </c>
      <c r="T1034" s="3" t="str">
        <f>Sheet4!H1034</f>
        <v xml:space="preserve"> View Map </v>
      </c>
    </row>
    <row r="1035" spans="1:20" ht="15" x14ac:dyDescent="0.25">
      <c r="A1035" s="1" t="s">
        <v>4204</v>
      </c>
      <c r="B1035" s="1" t="s">
        <v>4205</v>
      </c>
      <c r="C1035" s="2">
        <v>2025</v>
      </c>
      <c r="D1035" s="1" t="s">
        <v>24</v>
      </c>
      <c r="E1035" s="2">
        <v>1</v>
      </c>
      <c r="F1035" s="1" t="s">
        <v>4206</v>
      </c>
      <c r="G1035" s="1" t="s">
        <v>4206</v>
      </c>
      <c r="H1035" s="2">
        <v>0</v>
      </c>
      <c r="I1035" s="2">
        <v>100</v>
      </c>
      <c r="J1035" s="1" t="s">
        <v>4207</v>
      </c>
      <c r="K1035" s="1" t="s">
        <v>28</v>
      </c>
      <c r="L1035" s="1" t="s">
        <v>68</v>
      </c>
      <c r="M1035" s="1" t="s">
        <v>28</v>
      </c>
      <c r="N1035" s="1" t="s">
        <v>1652</v>
      </c>
      <c r="O1035" s="1" t="s">
        <v>28</v>
      </c>
      <c r="P1035" s="1" t="s">
        <v>304</v>
      </c>
      <c r="Q1035" s="1" t="s">
        <v>432</v>
      </c>
      <c r="R1035" s="1" t="s">
        <v>1652</v>
      </c>
      <c r="S1035" s="1" t="s">
        <v>71</v>
      </c>
      <c r="T1035" s="3" t="str">
        <f>Sheet4!H1035</f>
        <v xml:space="preserve"> View Map </v>
      </c>
    </row>
    <row r="1036" spans="1:20" ht="15" x14ac:dyDescent="0.25">
      <c r="A1036" s="1" t="s">
        <v>4208</v>
      </c>
      <c r="B1036" s="1" t="s">
        <v>4209</v>
      </c>
      <c r="C1036" s="2">
        <v>2024</v>
      </c>
      <c r="D1036" s="1" t="s">
        <v>24</v>
      </c>
      <c r="E1036" s="2">
        <v>1</v>
      </c>
      <c r="F1036" s="1" t="s">
        <v>4210</v>
      </c>
      <c r="G1036" s="1" t="s">
        <v>4210</v>
      </c>
      <c r="H1036" s="2">
        <v>0</v>
      </c>
      <c r="I1036" s="2">
        <v>100</v>
      </c>
      <c r="J1036" s="1" t="s">
        <v>4211</v>
      </c>
      <c r="K1036" s="1" t="s">
        <v>28</v>
      </c>
      <c r="L1036" s="1" t="s">
        <v>68</v>
      </c>
      <c r="M1036" s="1" t="s">
        <v>69</v>
      </c>
      <c r="N1036" s="1" t="s">
        <v>72</v>
      </c>
      <c r="O1036" s="1" t="s">
        <v>644</v>
      </c>
      <c r="P1036" s="1" t="s">
        <v>72</v>
      </c>
      <c r="Q1036" s="1" t="s">
        <v>811</v>
      </c>
      <c r="R1036" s="1" t="s">
        <v>72</v>
      </c>
      <c r="S1036" s="1" t="s">
        <v>71</v>
      </c>
      <c r="T1036" s="3" t="str">
        <f>Sheet4!H1036</f>
        <v xml:space="preserve"> View Map </v>
      </c>
    </row>
    <row r="1037" spans="1:20" ht="15" x14ac:dyDescent="0.25">
      <c r="A1037" s="1" t="s">
        <v>4212</v>
      </c>
      <c r="B1037" s="1" t="s">
        <v>4213</v>
      </c>
      <c r="C1037" s="2">
        <v>2025</v>
      </c>
      <c r="D1037" s="1" t="s">
        <v>24</v>
      </c>
      <c r="E1037" s="2">
        <v>1</v>
      </c>
      <c r="F1037" s="1" t="s">
        <v>4214</v>
      </c>
      <c r="G1037" s="1" t="s">
        <v>2675</v>
      </c>
      <c r="H1037" s="2">
        <v>0</v>
      </c>
      <c r="I1037" s="2">
        <v>100</v>
      </c>
      <c r="J1037" s="1" t="s">
        <v>4215</v>
      </c>
      <c r="K1037" s="1" t="s">
        <v>28</v>
      </c>
      <c r="L1037" s="1" t="s">
        <v>68</v>
      </c>
      <c r="M1037" s="1" t="s">
        <v>69</v>
      </c>
      <c r="N1037" s="1" t="s">
        <v>162</v>
      </c>
      <c r="O1037" s="1" t="s">
        <v>4216</v>
      </c>
      <c r="P1037" s="1" t="s">
        <v>162</v>
      </c>
      <c r="Q1037" s="1" t="s">
        <v>28</v>
      </c>
      <c r="R1037" s="1" t="s">
        <v>162</v>
      </c>
      <c r="S1037" s="1" t="s">
        <v>71</v>
      </c>
      <c r="T1037" s="3" t="str">
        <f>Sheet4!H1037</f>
        <v xml:space="preserve"> View Map </v>
      </c>
    </row>
    <row r="1038" spans="1:20" ht="15" x14ac:dyDescent="0.25">
      <c r="A1038" s="1" t="s">
        <v>4217</v>
      </c>
      <c r="B1038" s="1" t="s">
        <v>4218</v>
      </c>
      <c r="C1038" s="2">
        <v>2025</v>
      </c>
      <c r="D1038" s="1" t="s">
        <v>24</v>
      </c>
      <c r="E1038" s="2">
        <v>1</v>
      </c>
      <c r="F1038" s="1" t="s">
        <v>2715</v>
      </c>
      <c r="G1038" s="1" t="s">
        <v>2715</v>
      </c>
      <c r="H1038" s="2">
        <v>0</v>
      </c>
      <c r="I1038" s="2">
        <v>100</v>
      </c>
      <c r="J1038" s="1" t="s">
        <v>4219</v>
      </c>
      <c r="K1038" s="1" t="s">
        <v>28</v>
      </c>
      <c r="L1038" s="1" t="s">
        <v>51</v>
      </c>
      <c r="M1038" s="1" t="s">
        <v>52</v>
      </c>
      <c r="N1038" s="1" t="s">
        <v>53</v>
      </c>
      <c r="O1038" s="1" t="s">
        <v>412</v>
      </c>
      <c r="P1038" s="1" t="s">
        <v>45</v>
      </c>
      <c r="Q1038" s="1" t="s">
        <v>53</v>
      </c>
      <c r="R1038" s="1" t="s">
        <v>105</v>
      </c>
      <c r="S1038" s="1" t="s">
        <v>71</v>
      </c>
      <c r="T1038" s="3" t="str">
        <f>Sheet4!H1038</f>
        <v xml:space="preserve"> View Map </v>
      </c>
    </row>
    <row r="1039" spans="1:20" ht="15" x14ac:dyDescent="0.25">
      <c r="A1039" s="1" t="s">
        <v>4220</v>
      </c>
      <c r="B1039" s="1" t="s">
        <v>4221</v>
      </c>
      <c r="C1039" s="2">
        <v>2025</v>
      </c>
      <c r="D1039" s="1" t="s">
        <v>24</v>
      </c>
      <c r="E1039" s="2">
        <v>1</v>
      </c>
      <c r="F1039" s="1" t="s">
        <v>4222</v>
      </c>
      <c r="G1039" s="1" t="s">
        <v>4222</v>
      </c>
      <c r="H1039" s="2">
        <v>0</v>
      </c>
      <c r="I1039" s="2">
        <v>100</v>
      </c>
      <c r="J1039" s="1" t="s">
        <v>4223</v>
      </c>
      <c r="K1039" s="1" t="s">
        <v>28</v>
      </c>
      <c r="L1039" s="1" t="s">
        <v>68</v>
      </c>
      <c r="M1039" s="1" t="s">
        <v>69</v>
      </c>
      <c r="N1039" s="1" t="s">
        <v>322</v>
      </c>
      <c r="O1039" s="1" t="s">
        <v>4224</v>
      </c>
      <c r="P1039" s="1" t="s">
        <v>162</v>
      </c>
      <c r="Q1039" s="1" t="s">
        <v>316</v>
      </c>
      <c r="R1039" s="1" t="s">
        <v>784</v>
      </c>
      <c r="S1039" s="1" t="s">
        <v>71</v>
      </c>
      <c r="T1039" s="3" t="str">
        <f>Sheet4!H1039</f>
        <v xml:space="preserve"> View Map </v>
      </c>
    </row>
    <row r="1040" spans="1:20" ht="15" x14ac:dyDescent="0.25">
      <c r="A1040" s="1" t="s">
        <v>4225</v>
      </c>
      <c r="B1040" s="1" t="s">
        <v>4226</v>
      </c>
      <c r="C1040" s="2">
        <v>2025</v>
      </c>
      <c r="D1040" s="1" t="s">
        <v>24</v>
      </c>
      <c r="E1040" s="2">
        <v>1</v>
      </c>
      <c r="F1040" s="1" t="s">
        <v>4227</v>
      </c>
      <c r="G1040" s="1"/>
      <c r="H1040" s="2">
        <v>0</v>
      </c>
      <c r="I1040" s="2">
        <v>100</v>
      </c>
      <c r="J1040" s="1" t="s">
        <v>4228</v>
      </c>
      <c r="K1040" s="1" t="s">
        <v>28</v>
      </c>
      <c r="L1040" s="1" t="s">
        <v>29</v>
      </c>
      <c r="M1040" s="1" t="s">
        <v>134</v>
      </c>
      <c r="N1040" s="1" t="s">
        <v>160</v>
      </c>
      <c r="O1040" s="1" t="s">
        <v>1431</v>
      </c>
      <c r="P1040" s="1" t="s">
        <v>153</v>
      </c>
      <c r="Q1040" s="1" t="s">
        <v>154</v>
      </c>
      <c r="R1040" s="1" t="s">
        <v>459</v>
      </c>
      <c r="S1040" s="1" t="s">
        <v>71</v>
      </c>
      <c r="T1040" s="3" t="str">
        <f>Sheet4!H1040</f>
        <v xml:space="preserve"> View Map </v>
      </c>
    </row>
    <row r="1041" spans="1:20" ht="15" x14ac:dyDescent="0.25">
      <c r="A1041" s="1" t="s">
        <v>4229</v>
      </c>
      <c r="B1041" s="1" t="s">
        <v>4230</v>
      </c>
      <c r="C1041" s="2">
        <v>2025</v>
      </c>
      <c r="D1041" s="1" t="s">
        <v>24</v>
      </c>
      <c r="E1041" s="2">
        <v>1</v>
      </c>
      <c r="F1041" s="1" t="s">
        <v>4231</v>
      </c>
      <c r="G1041" s="1"/>
      <c r="H1041" s="2">
        <v>0</v>
      </c>
      <c r="I1041" s="2">
        <v>100</v>
      </c>
      <c r="J1041" s="1" t="s">
        <v>4232</v>
      </c>
      <c r="K1041" s="1" t="s">
        <v>28</v>
      </c>
      <c r="L1041" s="1" t="s">
        <v>68</v>
      </c>
      <c r="M1041" s="1" t="s">
        <v>69</v>
      </c>
      <c r="N1041" s="1" t="s">
        <v>309</v>
      </c>
      <c r="O1041" s="1" t="s">
        <v>3571</v>
      </c>
      <c r="P1041" s="1" t="s">
        <v>304</v>
      </c>
      <c r="Q1041" s="1" t="s">
        <v>305</v>
      </c>
      <c r="R1041" s="1" t="s">
        <v>309</v>
      </c>
      <c r="S1041" s="1" t="s">
        <v>71</v>
      </c>
      <c r="T1041" s="3" t="str">
        <f>Sheet4!H1041</f>
        <v xml:space="preserve"> View Map </v>
      </c>
    </row>
    <row r="1042" spans="1:20" ht="15" x14ac:dyDescent="0.25">
      <c r="A1042" s="1" t="s">
        <v>4233</v>
      </c>
      <c r="B1042" s="1" t="s">
        <v>4234</v>
      </c>
      <c r="C1042" s="2">
        <v>2025</v>
      </c>
      <c r="D1042" s="1" t="s">
        <v>24</v>
      </c>
      <c r="E1042" s="2">
        <v>1</v>
      </c>
      <c r="F1042" s="1" t="s">
        <v>4235</v>
      </c>
      <c r="G1042" s="1"/>
      <c r="H1042" s="2">
        <v>0</v>
      </c>
      <c r="I1042" s="2">
        <v>100</v>
      </c>
      <c r="J1042" s="1" t="s">
        <v>4236</v>
      </c>
      <c r="K1042" s="1" t="s">
        <v>28</v>
      </c>
      <c r="L1042" s="1" t="s">
        <v>68</v>
      </c>
      <c r="M1042" s="1" t="s">
        <v>69</v>
      </c>
      <c r="N1042" s="1" t="s">
        <v>322</v>
      </c>
      <c r="O1042" s="1" t="s">
        <v>1137</v>
      </c>
      <c r="P1042" s="1" t="s">
        <v>162</v>
      </c>
      <c r="Q1042" s="1" t="s">
        <v>316</v>
      </c>
      <c r="R1042" s="1" t="s">
        <v>784</v>
      </c>
      <c r="S1042" s="1" t="s">
        <v>71</v>
      </c>
      <c r="T1042" s="3" t="str">
        <f>Sheet4!H1042</f>
        <v xml:space="preserve"> View Map </v>
      </c>
    </row>
    <row r="1043" spans="1:20" ht="15" x14ac:dyDescent="0.25">
      <c r="A1043" s="1" t="s">
        <v>4237</v>
      </c>
      <c r="B1043" s="1" t="s">
        <v>4238</v>
      </c>
      <c r="C1043" s="2">
        <v>2025</v>
      </c>
      <c r="D1043" s="1" t="s">
        <v>24</v>
      </c>
      <c r="E1043" s="2">
        <v>1</v>
      </c>
      <c r="F1043" s="1" t="s">
        <v>4239</v>
      </c>
      <c r="G1043" s="1"/>
      <c r="H1043" s="2">
        <v>0</v>
      </c>
      <c r="I1043" s="2">
        <v>50</v>
      </c>
      <c r="J1043" s="1" t="s">
        <v>4240</v>
      </c>
      <c r="K1043" s="1" t="s">
        <v>28</v>
      </c>
      <c r="L1043" s="1" t="s">
        <v>51</v>
      </c>
      <c r="M1043" s="1" t="s">
        <v>52</v>
      </c>
      <c r="N1043" s="1" t="s">
        <v>53</v>
      </c>
      <c r="O1043" s="1" t="s">
        <v>121</v>
      </c>
      <c r="P1043" s="1" t="s">
        <v>45</v>
      </c>
      <c r="Q1043" s="1" t="s">
        <v>53</v>
      </c>
      <c r="R1043" s="1" t="s">
        <v>105</v>
      </c>
      <c r="S1043" s="1" t="s">
        <v>71</v>
      </c>
      <c r="T1043" s="3" t="str">
        <f>Sheet4!H1043</f>
        <v xml:space="preserve"> View Map </v>
      </c>
    </row>
    <row r="1044" spans="1:20" ht="15" x14ac:dyDescent="0.25">
      <c r="A1044" s="1" t="s">
        <v>4241</v>
      </c>
      <c r="B1044" s="1" t="s">
        <v>4242</v>
      </c>
      <c r="C1044" s="2">
        <v>2025</v>
      </c>
      <c r="D1044" s="1" t="s">
        <v>24</v>
      </c>
      <c r="E1044" s="2">
        <v>1</v>
      </c>
      <c r="F1044" s="1" t="s">
        <v>4243</v>
      </c>
      <c r="G1044" s="1"/>
      <c r="H1044" s="2">
        <v>0</v>
      </c>
      <c r="I1044" s="2">
        <v>75</v>
      </c>
      <c r="J1044" s="1" t="s">
        <v>4244</v>
      </c>
      <c r="K1044" s="1" t="s">
        <v>28</v>
      </c>
      <c r="L1044" s="1" t="s">
        <v>68</v>
      </c>
      <c r="M1044" s="1" t="s">
        <v>69</v>
      </c>
      <c r="N1044" s="1" t="s">
        <v>275</v>
      </c>
      <c r="O1044" s="1" t="s">
        <v>2441</v>
      </c>
      <c r="P1044" s="1" t="s">
        <v>275</v>
      </c>
      <c r="Q1044" s="1" t="s">
        <v>28</v>
      </c>
      <c r="R1044" s="1" t="s">
        <v>275</v>
      </c>
      <c r="S1044" s="1" t="s">
        <v>71</v>
      </c>
      <c r="T1044" s="3" t="str">
        <f>Sheet4!H1044</f>
        <v xml:space="preserve"> View Map </v>
      </c>
    </row>
    <row r="1045" spans="1:20" ht="15" x14ac:dyDescent="0.25">
      <c r="A1045" s="1" t="s">
        <v>4245</v>
      </c>
      <c r="B1045" s="1" t="s">
        <v>4246</v>
      </c>
      <c r="C1045" s="2">
        <v>2025</v>
      </c>
      <c r="D1045" s="1" t="s">
        <v>24</v>
      </c>
      <c r="E1045" s="2">
        <v>1</v>
      </c>
      <c r="F1045" s="1" t="s">
        <v>4247</v>
      </c>
      <c r="G1045" s="1"/>
      <c r="H1045" s="2">
        <v>0</v>
      </c>
      <c r="I1045" s="2">
        <v>100</v>
      </c>
      <c r="J1045" s="1" t="s">
        <v>4248</v>
      </c>
      <c r="K1045" s="1" t="s">
        <v>28</v>
      </c>
      <c r="L1045" s="1" t="s">
        <v>68</v>
      </c>
      <c r="M1045" s="1" t="s">
        <v>69</v>
      </c>
      <c r="N1045" s="1" t="s">
        <v>1652</v>
      </c>
      <c r="O1045" s="1" t="s">
        <v>28</v>
      </c>
      <c r="P1045" s="1" t="s">
        <v>162</v>
      </c>
      <c r="Q1045" s="1" t="s">
        <v>316</v>
      </c>
      <c r="R1045" s="1" t="s">
        <v>784</v>
      </c>
      <c r="S1045" s="1" t="s">
        <v>71</v>
      </c>
      <c r="T1045" s="3" t="str">
        <f>Sheet4!H1045</f>
        <v xml:space="preserve"> View Map </v>
      </c>
    </row>
    <row r="1046" spans="1:20" ht="15" x14ac:dyDescent="0.25">
      <c r="A1046" s="1" t="s">
        <v>4249</v>
      </c>
      <c r="B1046" s="1" t="s">
        <v>4250</v>
      </c>
      <c r="C1046" s="2">
        <v>2025</v>
      </c>
      <c r="D1046" s="1" t="s">
        <v>24</v>
      </c>
      <c r="E1046" s="2">
        <v>1</v>
      </c>
      <c r="F1046" s="1" t="s">
        <v>4251</v>
      </c>
      <c r="G1046" s="1"/>
      <c r="H1046" s="2">
        <v>0</v>
      </c>
      <c r="I1046" s="2">
        <v>75</v>
      </c>
      <c r="J1046" s="1" t="s">
        <v>4252</v>
      </c>
      <c r="K1046" s="1" t="s">
        <v>28</v>
      </c>
      <c r="L1046" s="1" t="s">
        <v>68</v>
      </c>
      <c r="M1046" s="1" t="s">
        <v>69</v>
      </c>
      <c r="N1046" s="1" t="s">
        <v>309</v>
      </c>
      <c r="O1046" s="1" t="s">
        <v>310</v>
      </c>
      <c r="P1046" s="1" t="s">
        <v>304</v>
      </c>
      <c r="Q1046" s="1" t="s">
        <v>305</v>
      </c>
      <c r="R1046" s="1" t="s">
        <v>309</v>
      </c>
      <c r="S1046" s="1" t="s">
        <v>71</v>
      </c>
      <c r="T1046" s="3" t="str">
        <f>Sheet4!H1046</f>
        <v xml:space="preserve"> View Map </v>
      </c>
    </row>
    <row r="1047" spans="1:20" ht="15" x14ac:dyDescent="0.25">
      <c r="A1047" s="1" t="s">
        <v>4253</v>
      </c>
      <c r="B1047" s="1" t="s">
        <v>4254</v>
      </c>
      <c r="C1047" s="2">
        <v>2025</v>
      </c>
      <c r="D1047" s="1" t="s">
        <v>24</v>
      </c>
      <c r="E1047" s="2">
        <v>1</v>
      </c>
      <c r="F1047" s="1" t="s">
        <v>4255</v>
      </c>
      <c r="G1047" s="1"/>
      <c r="H1047" s="2">
        <v>0</v>
      </c>
      <c r="I1047" s="2">
        <v>25</v>
      </c>
      <c r="J1047" s="1" t="s">
        <v>4256</v>
      </c>
      <c r="K1047" s="1" t="s">
        <v>28</v>
      </c>
      <c r="L1047" s="1" t="s">
        <v>68</v>
      </c>
      <c r="M1047" s="1" t="s">
        <v>69</v>
      </c>
      <c r="N1047" s="1" t="s">
        <v>309</v>
      </c>
      <c r="O1047" s="1" t="s">
        <v>3571</v>
      </c>
      <c r="P1047" s="1" t="s">
        <v>304</v>
      </c>
      <c r="Q1047" s="1" t="s">
        <v>305</v>
      </c>
      <c r="R1047" s="1" t="s">
        <v>309</v>
      </c>
      <c r="S1047" s="1" t="s">
        <v>71</v>
      </c>
      <c r="T1047" s="3" t="str">
        <f>Sheet4!H1047</f>
        <v xml:space="preserve"> View Map </v>
      </c>
    </row>
    <row r="1048" spans="1:20" ht="15" x14ac:dyDescent="0.25">
      <c r="A1048" s="1" t="s">
        <v>4257</v>
      </c>
      <c r="B1048" s="1" t="s">
        <v>4258</v>
      </c>
      <c r="C1048" s="2">
        <v>2025</v>
      </c>
      <c r="D1048" s="1" t="s">
        <v>24</v>
      </c>
      <c r="E1048" s="2">
        <v>1</v>
      </c>
      <c r="F1048" s="1" t="s">
        <v>4259</v>
      </c>
      <c r="G1048" s="1"/>
      <c r="H1048" s="2">
        <v>0</v>
      </c>
      <c r="I1048" s="2">
        <v>100</v>
      </c>
      <c r="J1048" s="1" t="s">
        <v>4260</v>
      </c>
      <c r="K1048" s="1" t="s">
        <v>28</v>
      </c>
      <c r="L1048" s="1" t="s">
        <v>68</v>
      </c>
      <c r="M1048" s="1" t="s">
        <v>69</v>
      </c>
      <c r="N1048" s="1" t="s">
        <v>275</v>
      </c>
      <c r="O1048" s="1" t="s">
        <v>2858</v>
      </c>
      <c r="P1048" s="1" t="s">
        <v>275</v>
      </c>
      <c r="Q1048" s="1" t="s">
        <v>275</v>
      </c>
      <c r="R1048" s="1" t="s">
        <v>275</v>
      </c>
      <c r="S1048" s="1" t="s">
        <v>71</v>
      </c>
      <c r="T1048" s="3" t="str">
        <f>Sheet4!H1048</f>
        <v xml:space="preserve"> View Map </v>
      </c>
    </row>
    <row r="1049" spans="1:20" ht="15" x14ac:dyDescent="0.25">
      <c r="A1049" s="1" t="s">
        <v>4261</v>
      </c>
      <c r="B1049" s="1" t="s">
        <v>4262</v>
      </c>
      <c r="C1049" s="2">
        <v>2025</v>
      </c>
      <c r="D1049" s="1" t="s">
        <v>24</v>
      </c>
      <c r="E1049" s="2">
        <v>1</v>
      </c>
      <c r="F1049" s="1" t="s">
        <v>4263</v>
      </c>
      <c r="G1049" s="1"/>
      <c r="H1049" s="2">
        <v>0</v>
      </c>
      <c r="I1049" s="2">
        <v>100</v>
      </c>
      <c r="J1049" s="1" t="s">
        <v>4264</v>
      </c>
      <c r="K1049" s="1" t="s">
        <v>28</v>
      </c>
      <c r="L1049" s="1" t="s">
        <v>68</v>
      </c>
      <c r="M1049" s="1" t="s">
        <v>69</v>
      </c>
      <c r="N1049" s="1" t="s">
        <v>275</v>
      </c>
      <c r="O1049" s="1" t="s">
        <v>2137</v>
      </c>
      <c r="P1049" s="1" t="s">
        <v>275</v>
      </c>
      <c r="Q1049" s="1" t="s">
        <v>2132</v>
      </c>
      <c r="R1049" s="1" t="s">
        <v>275</v>
      </c>
      <c r="S1049" s="1" t="s">
        <v>71</v>
      </c>
      <c r="T1049" s="3" t="str">
        <f>Sheet4!H1049</f>
        <v xml:space="preserve"> View Map </v>
      </c>
    </row>
    <row r="1050" spans="1:20" ht="15" x14ac:dyDescent="0.25">
      <c r="A1050" s="1" t="s">
        <v>4265</v>
      </c>
      <c r="B1050" s="1" t="s">
        <v>4266</v>
      </c>
      <c r="C1050" s="2">
        <v>2025</v>
      </c>
      <c r="D1050" s="1" t="s">
        <v>24</v>
      </c>
      <c r="E1050" s="2">
        <v>1</v>
      </c>
      <c r="F1050" s="1" t="s">
        <v>4267</v>
      </c>
      <c r="G1050" s="1"/>
      <c r="H1050" s="2">
        <v>0</v>
      </c>
      <c r="I1050" s="2">
        <v>25</v>
      </c>
      <c r="J1050" s="1" t="s">
        <v>4268</v>
      </c>
      <c r="K1050" s="1" t="s">
        <v>28</v>
      </c>
      <c r="L1050" s="1" t="s">
        <v>68</v>
      </c>
      <c r="M1050" s="1" t="s">
        <v>69</v>
      </c>
      <c r="N1050" s="1" t="s">
        <v>309</v>
      </c>
      <c r="O1050" s="1" t="s">
        <v>437</v>
      </c>
      <c r="P1050" s="1" t="s">
        <v>304</v>
      </c>
      <c r="Q1050" s="1" t="s">
        <v>28</v>
      </c>
      <c r="R1050" s="1" t="s">
        <v>309</v>
      </c>
      <c r="S1050" s="1" t="s">
        <v>71</v>
      </c>
      <c r="T1050" s="3" t="str">
        <f>Sheet4!H1050</f>
        <v xml:space="preserve"> View Map </v>
      </c>
    </row>
    <row r="1051" spans="1:20" ht="15" x14ac:dyDescent="0.25">
      <c r="A1051" s="1" t="s">
        <v>4269</v>
      </c>
      <c r="B1051" s="1" t="s">
        <v>4270</v>
      </c>
      <c r="C1051" s="2">
        <v>2025</v>
      </c>
      <c r="D1051" s="1" t="s">
        <v>24</v>
      </c>
      <c r="E1051" s="2">
        <v>1</v>
      </c>
      <c r="F1051" s="1" t="s">
        <v>4271</v>
      </c>
      <c r="G1051" s="1" t="s">
        <v>4271</v>
      </c>
      <c r="H1051" s="2">
        <v>0</v>
      </c>
      <c r="I1051" s="2">
        <v>100</v>
      </c>
      <c r="J1051" s="1" t="s">
        <v>4272</v>
      </c>
      <c r="K1051" s="1" t="s">
        <v>28</v>
      </c>
      <c r="L1051" s="1" t="s">
        <v>68</v>
      </c>
      <c r="M1051" s="1" t="s">
        <v>69</v>
      </c>
      <c r="N1051" s="1" t="s">
        <v>162</v>
      </c>
      <c r="O1051" s="1" t="s">
        <v>3629</v>
      </c>
      <c r="P1051" s="1" t="s">
        <v>162</v>
      </c>
      <c r="Q1051" s="1" t="s">
        <v>162</v>
      </c>
      <c r="R1051" s="1" t="s">
        <v>162</v>
      </c>
      <c r="S1051" s="1" t="s">
        <v>71</v>
      </c>
      <c r="T1051" s="3" t="str">
        <f>Sheet4!H1051</f>
        <v xml:space="preserve"> View Map </v>
      </c>
    </row>
    <row r="1052" spans="1:20" ht="15" x14ac:dyDescent="0.25">
      <c r="A1052" s="1" t="s">
        <v>4273</v>
      </c>
      <c r="B1052" s="1" t="s">
        <v>4274</v>
      </c>
      <c r="C1052" s="2">
        <v>2025</v>
      </c>
      <c r="D1052" s="1" t="s">
        <v>24</v>
      </c>
      <c r="E1052" s="2">
        <v>1</v>
      </c>
      <c r="F1052" s="1" t="s">
        <v>4275</v>
      </c>
      <c r="G1052" s="1"/>
      <c r="H1052" s="2">
        <v>0</v>
      </c>
      <c r="I1052" s="2">
        <v>100</v>
      </c>
      <c r="J1052" s="1" t="s">
        <v>4276</v>
      </c>
      <c r="K1052" s="1" t="s">
        <v>28</v>
      </c>
      <c r="L1052" s="1" t="s">
        <v>68</v>
      </c>
      <c r="M1052" s="1" t="s">
        <v>69</v>
      </c>
      <c r="N1052" s="1" t="s">
        <v>275</v>
      </c>
      <c r="O1052" s="1" t="s">
        <v>391</v>
      </c>
      <c r="P1052" s="1" t="s">
        <v>275</v>
      </c>
      <c r="Q1052" s="1" t="s">
        <v>276</v>
      </c>
      <c r="R1052" s="1" t="s">
        <v>275</v>
      </c>
      <c r="S1052" s="1" t="s">
        <v>71</v>
      </c>
      <c r="T1052" s="3" t="str">
        <f>Sheet4!H1052</f>
        <v xml:space="preserve"> View Map </v>
      </c>
    </row>
    <row r="1053" spans="1:20" ht="15" x14ac:dyDescent="0.25">
      <c r="A1053" s="1" t="s">
        <v>4277</v>
      </c>
      <c r="B1053" s="1" t="s">
        <v>4278</v>
      </c>
      <c r="C1053" s="2">
        <v>2025</v>
      </c>
      <c r="D1053" s="1" t="s">
        <v>24</v>
      </c>
      <c r="E1053" s="2">
        <v>1</v>
      </c>
      <c r="F1053" s="1" t="s">
        <v>4279</v>
      </c>
      <c r="G1053" s="1" t="s">
        <v>4280</v>
      </c>
      <c r="H1053" s="2">
        <v>0</v>
      </c>
      <c r="I1053" s="2">
        <v>100</v>
      </c>
      <c r="J1053" s="1" t="s">
        <v>4281</v>
      </c>
      <c r="K1053" s="1" t="s">
        <v>28</v>
      </c>
      <c r="L1053" s="1" t="s">
        <v>68</v>
      </c>
      <c r="M1053" s="1" t="s">
        <v>69</v>
      </c>
      <c r="N1053" s="1" t="s">
        <v>275</v>
      </c>
      <c r="O1053" s="1" t="s">
        <v>354</v>
      </c>
      <c r="P1053" s="1" t="s">
        <v>275</v>
      </c>
      <c r="Q1053" s="1" t="s">
        <v>348</v>
      </c>
      <c r="R1053" s="1" t="s">
        <v>275</v>
      </c>
      <c r="S1053" s="1" t="s">
        <v>71</v>
      </c>
      <c r="T1053" s="3" t="str">
        <f>Sheet4!H1053</f>
        <v xml:space="preserve"> View Map </v>
      </c>
    </row>
    <row r="1054" spans="1:20" ht="15" x14ac:dyDescent="0.25">
      <c r="A1054" s="1" t="s">
        <v>4282</v>
      </c>
      <c r="B1054" s="1" t="s">
        <v>4283</v>
      </c>
      <c r="C1054" s="2">
        <v>2025</v>
      </c>
      <c r="D1054" s="1" t="s">
        <v>24</v>
      </c>
      <c r="E1054" s="2">
        <v>1</v>
      </c>
      <c r="F1054" s="1" t="s">
        <v>4284</v>
      </c>
      <c r="G1054" s="1" t="s">
        <v>4285</v>
      </c>
      <c r="H1054" s="2">
        <v>0</v>
      </c>
      <c r="I1054" s="2">
        <v>100</v>
      </c>
      <c r="J1054" s="1" t="s">
        <v>4286</v>
      </c>
      <c r="K1054" s="1" t="s">
        <v>28</v>
      </c>
      <c r="L1054" s="1" t="s">
        <v>68</v>
      </c>
      <c r="M1054" s="1" t="s">
        <v>69</v>
      </c>
      <c r="N1054" s="1" t="s">
        <v>309</v>
      </c>
      <c r="O1054" s="1" t="s">
        <v>310</v>
      </c>
      <c r="P1054" s="1" t="s">
        <v>304</v>
      </c>
      <c r="Q1054" s="1" t="s">
        <v>305</v>
      </c>
      <c r="R1054" s="1" t="s">
        <v>309</v>
      </c>
      <c r="S1054" s="1" t="s">
        <v>71</v>
      </c>
      <c r="T1054" s="3" t="str">
        <f>Sheet4!H1054</f>
        <v xml:space="preserve"> View Map </v>
      </c>
    </row>
    <row r="1055" spans="1:20" ht="15" x14ac:dyDescent="0.25">
      <c r="A1055" s="1" t="s">
        <v>4287</v>
      </c>
      <c r="B1055" s="1" t="s">
        <v>4288</v>
      </c>
      <c r="C1055" s="2">
        <v>2025</v>
      </c>
      <c r="D1055" s="1" t="s">
        <v>24</v>
      </c>
      <c r="E1055" s="2">
        <v>1</v>
      </c>
      <c r="F1055" s="1" t="s">
        <v>4289</v>
      </c>
      <c r="G1055" s="1" t="s">
        <v>3197</v>
      </c>
      <c r="H1055" s="2">
        <v>0</v>
      </c>
      <c r="I1055" s="2">
        <v>500</v>
      </c>
      <c r="J1055" s="1" t="s">
        <v>4290</v>
      </c>
      <c r="K1055" s="1" t="s">
        <v>28</v>
      </c>
      <c r="L1055" s="1" t="s">
        <v>68</v>
      </c>
      <c r="M1055" s="1" t="s">
        <v>69</v>
      </c>
      <c r="N1055" s="1" t="s">
        <v>275</v>
      </c>
      <c r="O1055" s="1" t="s">
        <v>282</v>
      </c>
      <c r="P1055" s="1" t="s">
        <v>275</v>
      </c>
      <c r="Q1055" s="1" t="s">
        <v>276</v>
      </c>
      <c r="R1055" s="1" t="s">
        <v>275</v>
      </c>
      <c r="S1055" s="1" t="s">
        <v>71</v>
      </c>
      <c r="T1055" s="3" t="str">
        <f>Sheet4!H1055</f>
        <v xml:space="preserve"> View Map </v>
      </c>
    </row>
    <row r="1056" spans="1:20" ht="15" x14ac:dyDescent="0.25">
      <c r="A1056" s="1" t="s">
        <v>4291</v>
      </c>
      <c r="B1056" s="1" t="s">
        <v>4292</v>
      </c>
      <c r="C1056" s="2">
        <v>2025</v>
      </c>
      <c r="D1056" s="1" t="s">
        <v>24</v>
      </c>
      <c r="E1056" s="2">
        <v>1</v>
      </c>
      <c r="F1056" s="1" t="s">
        <v>4293</v>
      </c>
      <c r="G1056" s="1"/>
      <c r="H1056" s="2">
        <v>0</v>
      </c>
      <c r="I1056" s="2">
        <v>40000</v>
      </c>
      <c r="J1056" s="1" t="s">
        <v>4294</v>
      </c>
      <c r="K1056" s="1" t="s">
        <v>28</v>
      </c>
      <c r="L1056" s="1" t="s">
        <v>68</v>
      </c>
      <c r="M1056" s="1" t="s">
        <v>69</v>
      </c>
      <c r="N1056" s="1" t="s">
        <v>309</v>
      </c>
      <c r="O1056" s="1" t="s">
        <v>3571</v>
      </c>
      <c r="P1056" s="1" t="s">
        <v>304</v>
      </c>
      <c r="Q1056" s="1" t="s">
        <v>305</v>
      </c>
      <c r="R1056" s="1" t="s">
        <v>309</v>
      </c>
      <c r="S1056" s="1" t="s">
        <v>71</v>
      </c>
      <c r="T1056" s="3" t="str">
        <f>Sheet4!H1056</f>
        <v xml:space="preserve"> View Map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J1056"/>
  <sheetViews>
    <sheetView topLeftCell="B1" workbookViewId="0"/>
  </sheetViews>
  <sheetFormatPr defaultColWidth="12.5703125" defaultRowHeight="15.75" customHeight="1" x14ac:dyDescent="0.2"/>
  <cols>
    <col min="1" max="2" width="55.42578125" customWidth="1"/>
    <col min="3" max="6" width="27.28515625" customWidth="1"/>
    <col min="7" max="7" width="39" customWidth="1"/>
    <col min="8" max="8" width="12.7109375" customWidth="1"/>
  </cols>
  <sheetData>
    <row r="1" spans="1:10" x14ac:dyDescent="0.2">
      <c r="A1" s="4" t="s">
        <v>4295</v>
      </c>
      <c r="B1" s="4" t="s">
        <v>4296</v>
      </c>
      <c r="C1" s="4" t="s">
        <v>4297</v>
      </c>
      <c r="D1" s="4" t="s">
        <v>4298</v>
      </c>
      <c r="E1" s="4" t="s">
        <v>4299</v>
      </c>
      <c r="F1" s="4" t="s">
        <v>8</v>
      </c>
      <c r="G1" s="4" t="s">
        <v>4300</v>
      </c>
      <c r="H1" s="4" t="s">
        <v>4301</v>
      </c>
      <c r="I1" s="4" t="s">
        <v>4302</v>
      </c>
      <c r="J1" s="4" t="s">
        <v>4303</v>
      </c>
    </row>
    <row r="2" spans="1:10" x14ac:dyDescent="0.2">
      <c r="B2" s="4" t="str">
        <f>PROPER(Sheet1!$B2&amp;" "&amp;"Tea Factory")</f>
        <v>Oliphant Tea Factory</v>
      </c>
      <c r="F2" s="4" t="str">
        <f>Sheet1!G2</f>
        <v>Shanthipura</v>
      </c>
      <c r="G2" s="4" t="str">
        <f>Sheet1!J2</f>
        <v xml:space="preserve">Nuwaraeliya </v>
      </c>
      <c r="H2" s="5" t="str">
        <f t="shared" ref="H2:H256" si="0">HYPERLINK("https://www.google.com/maps/search/"&amp;SUBSTITUTE($B2,"","+")," View Map ")</f>
        <v xml:space="preserve"> View Map </v>
      </c>
    </row>
    <row r="3" spans="1:10" x14ac:dyDescent="0.2">
      <c r="B3" s="4" t="str">
        <f>PROPER(Sheet1!$B3&amp;" "&amp;"Tea Factory")</f>
        <v>Mattakelle Tea Factory</v>
      </c>
      <c r="F3" s="4" t="str">
        <f>Sheet1!G3</f>
        <v>Talawakelle</v>
      </c>
      <c r="G3" s="4" t="str">
        <f>Sheet1!J3</f>
        <v>Mattakelle Estate, Lindula</v>
      </c>
      <c r="H3" s="5" t="str">
        <f t="shared" si="0"/>
        <v xml:space="preserve"> View Map </v>
      </c>
    </row>
    <row r="4" spans="1:10" x14ac:dyDescent="0.2">
      <c r="B4" s="4" t="str">
        <f>PROPER(Sheet1!$B4&amp;" "&amp;"Tea Factory")</f>
        <v>Stony Cliff Group Tea Factory</v>
      </c>
      <c r="F4" s="4" t="str">
        <f>Sheet1!G4</f>
        <v>Kotagala</v>
      </c>
      <c r="G4" s="4" t="str">
        <f>Sheet1!J4</f>
        <v>Stony cliff Group, Kotagala, Nuwara Eliya</v>
      </c>
      <c r="H4" s="5" t="str">
        <f t="shared" si="0"/>
        <v xml:space="preserve"> View Map </v>
      </c>
    </row>
    <row r="5" spans="1:10" x14ac:dyDescent="0.2">
      <c r="B5" s="4" t="str">
        <f>PROPER(Sheet1!$B5&amp;" "&amp;"Tea Factory")</f>
        <v>Nagastenne Refuse Tea Processing Tea Factory</v>
      </c>
      <c r="F5" s="4">
        <f>Sheet1!G5</f>
        <v>0</v>
      </c>
      <c r="G5" s="4" t="str">
        <f>Sheet1!J5</f>
        <v>Nagastenna Estate, Nawalapitiya</v>
      </c>
      <c r="H5" s="5" t="str">
        <f t="shared" si="0"/>
        <v xml:space="preserve"> View Map </v>
      </c>
    </row>
    <row r="6" spans="1:10" x14ac:dyDescent="0.2">
      <c r="B6" s="4" t="str">
        <f>PROPER(Sheet1!$B6&amp;" "&amp;"Tea Factory")</f>
        <v>Galamuduna Tea Factory</v>
      </c>
      <c r="F6" s="4" t="str">
        <f>Sheet1!G6</f>
        <v>Dolosbage</v>
      </c>
      <c r="G6" s="4" t="str">
        <f>Sheet1!J6</f>
        <v>Galamuduna Estate, Dolosbage</v>
      </c>
      <c r="H6" s="5" t="str">
        <f t="shared" si="0"/>
        <v xml:space="preserve"> View Map </v>
      </c>
    </row>
    <row r="7" spans="1:10" x14ac:dyDescent="0.2">
      <c r="B7" s="4" t="str">
        <f>PROPER(Sheet1!$B7&amp;" "&amp;"Tea Factory")</f>
        <v>Goorookoya Tea Factory</v>
      </c>
      <c r="F7" s="4" t="str">
        <f>Sheet1!G7</f>
        <v>Pahala  Goorookoya</v>
      </c>
      <c r="G7" s="4" t="str">
        <f>Sheet1!J7</f>
        <v>Pahala Goorookoya,Nawalapitiya.</v>
      </c>
      <c r="H7" s="5" t="str">
        <f t="shared" si="0"/>
        <v xml:space="preserve"> View Map </v>
      </c>
    </row>
    <row r="8" spans="1:10" x14ac:dyDescent="0.2">
      <c r="B8" s="4" t="str">
        <f>PROPER(Sheet1!$B8&amp;" "&amp;"Tea Factory")</f>
        <v>Enselwatte Tea Factory</v>
      </c>
      <c r="F8" s="4">
        <f>Sheet1!G8</f>
        <v>0</v>
      </c>
      <c r="G8" s="4" t="str">
        <f>Sheet1!J8</f>
        <v>Ensalwatta, Deniyaya</v>
      </c>
      <c r="H8" s="5" t="str">
        <f t="shared" si="0"/>
        <v xml:space="preserve"> View Map </v>
      </c>
    </row>
    <row r="9" spans="1:10" x14ac:dyDescent="0.2">
      <c r="B9" s="4" t="str">
        <f>PROPER(Sheet1!$B9&amp;" "&amp;"Tea Factory")</f>
        <v>Kalugolla Tea Factory</v>
      </c>
      <c r="F9" s="4" t="str">
        <f>Sheet1!G9</f>
        <v>Dunukevila</v>
      </c>
      <c r="G9" s="4" t="str">
        <f>Sheet1!J9</f>
        <v>Pussellawa.</v>
      </c>
      <c r="H9" s="5" t="str">
        <f t="shared" si="0"/>
        <v xml:space="preserve"> View Map </v>
      </c>
    </row>
    <row r="10" spans="1:10" x14ac:dyDescent="0.2">
      <c r="B10" s="4" t="str">
        <f>PROPER(Sheet1!$B10&amp;" "&amp;"Tea Factory")</f>
        <v>Diyagama West Tea Factory</v>
      </c>
      <c r="F10" s="4">
        <f>Sheet1!G10</f>
        <v>0</v>
      </c>
      <c r="G10" s="4" t="str">
        <f>Sheet1!J10</f>
        <v>Deyagama Bazar</v>
      </c>
      <c r="H10" s="5" t="str">
        <f t="shared" si="0"/>
        <v xml:space="preserve"> View Map </v>
      </c>
    </row>
    <row r="11" spans="1:10" x14ac:dyDescent="0.2">
      <c r="B11" s="4" t="str">
        <f>PROPER(Sheet1!$B11&amp;" "&amp;"Tea Factory")</f>
        <v>Diyagama East Tea Factory</v>
      </c>
      <c r="F11" s="4">
        <f>Sheet1!G11</f>
        <v>0</v>
      </c>
      <c r="G11" s="4" t="str">
        <f>Sheet1!J11</f>
        <v>Dayagama, Nuwara Eliya</v>
      </c>
      <c r="H11" s="5" t="str">
        <f t="shared" si="0"/>
        <v xml:space="preserve"> View Map </v>
      </c>
    </row>
    <row r="12" spans="1:10" x14ac:dyDescent="0.2">
      <c r="B12" s="4" t="str">
        <f>PROPER(Sheet1!$B12&amp;" "&amp;"Tea Factory")</f>
        <v>New Peacock Group Tea Factory</v>
      </c>
      <c r="F12" s="4" t="str">
        <f>Sheet1!G12</f>
        <v>Pussellawa</v>
      </c>
      <c r="G12" s="4" t="str">
        <f>Sheet1!J12</f>
        <v>New Peacock Estate, Pussellawa</v>
      </c>
      <c r="H12" s="5" t="str">
        <f t="shared" si="0"/>
        <v xml:space="preserve"> View Map </v>
      </c>
    </row>
    <row r="13" spans="1:10" x14ac:dyDescent="0.2">
      <c r="B13" s="4" t="str">
        <f>PROPER(Sheet1!$B13&amp;" "&amp;"Tea Factory")</f>
        <v>Nilamba Tea Factory</v>
      </c>
      <c r="F13" s="4" t="str">
        <f>Sheet1!G13</f>
        <v>Palledeltota</v>
      </c>
      <c r="G13" s="4" t="str">
        <f>Sheet1!J13</f>
        <v>Udahewaheta Estate, Galaha</v>
      </c>
      <c r="H13" s="5" t="str">
        <f t="shared" si="0"/>
        <v xml:space="preserve"> View Map </v>
      </c>
    </row>
    <row r="14" spans="1:10" x14ac:dyDescent="0.2">
      <c r="B14" s="4" t="str">
        <f>PROPER(Sheet1!$B14&amp;" "&amp;"Tea Factory")</f>
        <v>Great Velley Tea Factory</v>
      </c>
      <c r="F14" s="4" t="str">
        <f>Sheet1!G14</f>
        <v>Karagastenna</v>
      </c>
      <c r="G14" s="4" t="str">
        <f>Sheet1!J14</f>
        <v>Deltota.</v>
      </c>
      <c r="H14" s="5" t="str">
        <f t="shared" si="0"/>
        <v xml:space="preserve"> View Map </v>
      </c>
    </row>
    <row r="15" spans="1:10" x14ac:dyDescent="0.2">
      <c r="B15" s="4" t="str">
        <f>PROPER(Sheet1!$B15&amp;" "&amp;"Tea Factory")</f>
        <v>Beverley Tea Factory</v>
      </c>
      <c r="F15" s="4" t="str">
        <f>Sheet1!G15</f>
        <v>Kiriwaldola</v>
      </c>
      <c r="G15" s="4" t="str">
        <f>Sheet1!J15</f>
        <v>Deniyaya</v>
      </c>
      <c r="H15" s="5" t="str">
        <f t="shared" si="0"/>
        <v xml:space="preserve"> View Map </v>
      </c>
    </row>
    <row r="16" spans="1:10" x14ac:dyDescent="0.2">
      <c r="B16" s="4" t="str">
        <f>PROPER(Sheet1!$B16&amp;" "&amp;"Tea Factory")</f>
        <v>Velana Tea Factory</v>
      </c>
      <c r="F16" s="4" t="str">
        <f>Sheet1!G16</f>
        <v>Valangama</v>
      </c>
      <c r="G16" s="4" t="str">
        <f>Sheet1!J16</f>
        <v>Velangama, Akurana</v>
      </c>
      <c r="H16" s="5" t="str">
        <f t="shared" si="0"/>
        <v xml:space="preserve"> View Map </v>
      </c>
    </row>
    <row r="17" spans="2:8" x14ac:dyDescent="0.2">
      <c r="B17" s="4" t="str">
        <f>PROPER(Sheet1!$B17&amp;" "&amp;"Tea Factory")</f>
        <v>Kurugama Tea Factory</v>
      </c>
      <c r="F17" s="4" t="str">
        <f>Sheet1!G17</f>
        <v>Muruthalawa</v>
      </c>
      <c r="G17" s="4" t="str">
        <f>Sheet1!J17</f>
        <v>Kurugama Estate, MuruthalwaVia Kandy</v>
      </c>
      <c r="H17" s="5" t="str">
        <f t="shared" si="0"/>
        <v xml:space="preserve"> View Map </v>
      </c>
    </row>
    <row r="18" spans="2:8" x14ac:dyDescent="0.2">
      <c r="B18" s="4" t="str">
        <f>PROPER(Sheet1!$B18&amp;" "&amp;"Tea Factory")</f>
        <v>Gordon Tea Factory</v>
      </c>
      <c r="F18" s="4" t="str">
        <f>Sheet1!G18</f>
        <v>Udapussellawa</v>
      </c>
      <c r="G18" s="4" t="str">
        <f>Sheet1!J18</f>
        <v>Udapussellawa</v>
      </c>
      <c r="H18" s="5" t="str">
        <f t="shared" si="0"/>
        <v xml:space="preserve"> View Map </v>
      </c>
    </row>
    <row r="19" spans="2:8" x14ac:dyDescent="0.2">
      <c r="B19" s="4" t="str">
        <f>PROPER(Sheet1!$B19&amp;" "&amp;"Tea Factory")</f>
        <v>Powysland  Tea Factory</v>
      </c>
      <c r="F19" s="4">
        <f>Sheet1!G19</f>
        <v>0</v>
      </c>
      <c r="G19" s="4" t="str">
        <f>Sheet1!J19</f>
        <v>Powysland Estate, Dayagama Via, Nuwara Eliya</v>
      </c>
      <c r="H19" s="5" t="str">
        <f t="shared" si="0"/>
        <v xml:space="preserve"> View Map </v>
      </c>
    </row>
    <row r="20" spans="2:8" x14ac:dyDescent="0.2">
      <c r="B20" s="4" t="str">
        <f>PROPER(Sheet1!$B20&amp;" "&amp;"Tea Factory")</f>
        <v>Bolagala Tea Factory</v>
      </c>
      <c r="F20" s="4" t="str">
        <f>Sheet1!G20</f>
        <v>Palkumbura</v>
      </c>
      <c r="G20" s="4" t="str">
        <f>Sheet1!J20</f>
        <v>Werellagama.</v>
      </c>
      <c r="H20" s="5" t="str">
        <f t="shared" si="0"/>
        <v xml:space="preserve"> View Map </v>
      </c>
    </row>
    <row r="21" spans="2:8" x14ac:dyDescent="0.2">
      <c r="B21" s="4" t="str">
        <f>PROPER(Sheet1!$B21&amp;" "&amp;"Tea Factory")</f>
        <v>New Rathwatte Tea Factory</v>
      </c>
      <c r="F21" s="4" t="str">
        <f>Sheet1!G21</f>
        <v>Ratwatta</v>
      </c>
      <c r="G21" s="4" t="str">
        <f>Sheet1!J21</f>
        <v>Rathwatte Estate, Udathenna, Matale</v>
      </c>
      <c r="H21" s="5" t="str">
        <f t="shared" si="0"/>
        <v xml:space="preserve"> View Map </v>
      </c>
    </row>
    <row r="22" spans="2:8" x14ac:dyDescent="0.2">
      <c r="B22" s="4" t="str">
        <f>PROPER(Sheet1!$B22&amp;" "&amp;"Tea Factory")</f>
        <v>Hugoland Tea Factory</v>
      </c>
      <c r="F22" s="4" t="str">
        <f>Sheet1!G22</f>
        <v>Lunuwatte</v>
      </c>
      <c r="G22" s="4" t="str">
        <f>Sheet1!J22</f>
        <v>Hugoland Estate, Lunuwatte, Welimada</v>
      </c>
      <c r="H22" s="5" t="str">
        <f t="shared" si="0"/>
        <v xml:space="preserve"> View Map </v>
      </c>
    </row>
    <row r="23" spans="2:8" x14ac:dyDescent="0.2">
      <c r="B23" s="4" t="str">
        <f>PROPER(Sheet1!$B23&amp;" "&amp;"Tea Factory")</f>
        <v>Noragalla  Tea Factory</v>
      </c>
      <c r="F23" s="4">
        <f>Sheet1!G23</f>
        <v>0</v>
      </c>
      <c r="G23" s="4" t="str">
        <f>Sheet1!J23</f>
        <v>Noragalla, Nivithigala</v>
      </c>
      <c r="H23" s="5" t="str">
        <f t="shared" si="0"/>
        <v xml:space="preserve"> View Map </v>
      </c>
    </row>
    <row r="24" spans="2:8" x14ac:dyDescent="0.2">
      <c r="B24" s="4" t="str">
        <f>PROPER(Sheet1!$B24&amp;" "&amp;"Tea Factory")</f>
        <v>Brownlow Tea Factory</v>
      </c>
      <c r="F24" s="4" t="str">
        <f>Sheet1!G24</f>
        <v>Maskeliya</v>
      </c>
      <c r="G24" s="4" t="str">
        <f>Sheet1!J24</f>
        <v>Brownlow Estate ,Maskeliya</v>
      </c>
      <c r="H24" s="5" t="str">
        <f t="shared" si="0"/>
        <v xml:space="preserve"> View Map </v>
      </c>
    </row>
    <row r="25" spans="2:8" x14ac:dyDescent="0.2">
      <c r="B25" s="4" t="str">
        <f>PROPER(Sheet1!$B25&amp;" "&amp;"Tea Factory")</f>
        <v>Troup Tea Factory</v>
      </c>
      <c r="F25" s="4">
        <f>Sheet1!G25</f>
        <v>0</v>
      </c>
      <c r="G25" s="4" t="str">
        <f>Sheet1!J25</f>
        <v>Troup Estate, Talawakelle</v>
      </c>
      <c r="H25" s="5" t="str">
        <f t="shared" si="0"/>
        <v xml:space="preserve"> View Map </v>
      </c>
    </row>
    <row r="26" spans="2:8" x14ac:dyDescent="0.2">
      <c r="B26" s="4" t="str">
        <f>PROPER(Sheet1!$B26&amp;" "&amp;"Tea Factory")</f>
        <v>Strathspey Tea Factory</v>
      </c>
      <c r="F26" s="4">
        <f>Sheet1!G26</f>
        <v>0</v>
      </c>
      <c r="G26" s="4" t="str">
        <f>Sheet1!J26</f>
        <v>Strathspey Estate, Upcot</v>
      </c>
      <c r="H26" s="5" t="str">
        <f t="shared" si="0"/>
        <v xml:space="preserve"> View Map </v>
      </c>
    </row>
    <row r="27" spans="2:8" x14ac:dyDescent="0.2">
      <c r="B27" s="4" t="str">
        <f>PROPER(Sheet1!$B27&amp;" "&amp;"Tea Factory")</f>
        <v>Gowerakelle Tea Factory</v>
      </c>
      <c r="F27" s="4">
        <f>Sheet1!G27</f>
        <v>0</v>
      </c>
      <c r="G27" s="4">
        <f>Sheet1!J27</f>
        <v>0</v>
      </c>
      <c r="H27" s="5" t="str">
        <f t="shared" si="0"/>
        <v xml:space="preserve"> View Map </v>
      </c>
    </row>
    <row r="28" spans="2:8" x14ac:dyDescent="0.2">
      <c r="B28" s="4" t="str">
        <f>PROPER(Sheet1!$B28&amp;" "&amp;"Tea Factory")</f>
        <v>Ohiya Tea Factory</v>
      </c>
      <c r="F28" s="4">
        <f>Sheet1!G28</f>
        <v>0</v>
      </c>
      <c r="G28" s="4" t="str">
        <f>Sheet1!J28</f>
        <v>Railway Station, Ohiya</v>
      </c>
      <c r="H28" s="5" t="str">
        <f t="shared" si="0"/>
        <v xml:space="preserve"> View Map </v>
      </c>
    </row>
    <row r="29" spans="2:8" x14ac:dyDescent="0.2">
      <c r="B29" s="4" t="str">
        <f>PROPER(Sheet1!$B29&amp;" "&amp;"Tea Factory")</f>
        <v>Debedde Tea Factory</v>
      </c>
      <c r="F29" s="4" t="str">
        <f>Sheet1!G29</f>
        <v>Pelgahatenna</v>
      </c>
      <c r="G29" s="4" t="str">
        <f>Sheet1!J29</f>
        <v>Ury EstatePassara</v>
      </c>
      <c r="H29" s="5" t="str">
        <f t="shared" si="0"/>
        <v xml:space="preserve"> View Map </v>
      </c>
    </row>
    <row r="30" spans="2:8" x14ac:dyDescent="0.2">
      <c r="B30" s="4" t="str">
        <f>PROPER(Sheet1!$B30&amp;" "&amp;"Tea Factory")</f>
        <v>Hantane Tea Factory</v>
      </c>
      <c r="F30" s="4">
        <f>Sheet1!G30</f>
        <v>0</v>
      </c>
      <c r="G30" s="4">
        <f>Sheet1!J30</f>
        <v>0</v>
      </c>
      <c r="H30" s="5" t="str">
        <f t="shared" si="0"/>
        <v xml:space="preserve"> View Map </v>
      </c>
    </row>
    <row r="31" spans="2:8" x14ac:dyDescent="0.2">
      <c r="B31" s="4" t="str">
        <f>PROPER(Sheet1!$B31&amp;" "&amp;"Tea Factory")</f>
        <v>St. Clair  Tea Factory</v>
      </c>
      <c r="F31" s="4" t="str">
        <f>Sheet1!G31</f>
        <v>Ulapane</v>
      </c>
      <c r="G31" s="4" t="str">
        <f>Sheet1!J31</f>
        <v>St. Clair EstateThalawakelle.</v>
      </c>
      <c r="H31" s="5" t="str">
        <f t="shared" si="0"/>
        <v xml:space="preserve"> View Map </v>
      </c>
    </row>
    <row r="32" spans="2:8" x14ac:dyDescent="0.2">
      <c r="B32" s="4" t="str">
        <f>PROPER(Sheet1!$B32&amp;" "&amp;"Tea Factory")</f>
        <v>Mahanilu  Tea Factory</v>
      </c>
      <c r="F32" s="4">
        <f>Sheet1!G32</f>
        <v>0</v>
      </c>
      <c r="G32" s="4" t="str">
        <f>Sheet1!J32</f>
        <v>Mahanilu EstateUpcot</v>
      </c>
      <c r="H32" s="5" t="str">
        <f t="shared" si="0"/>
        <v xml:space="preserve"> View Map </v>
      </c>
    </row>
    <row r="33" spans="2:8" x14ac:dyDescent="0.2">
      <c r="B33" s="4" t="str">
        <f>PROPER(Sheet1!$B33&amp;" "&amp;"Tea Factory")</f>
        <v>Needwood  Tea Factory</v>
      </c>
      <c r="F33" s="4" t="str">
        <f>Sheet1!G33</f>
        <v>Needwood Estate</v>
      </c>
      <c r="G33" s="4" t="str">
        <f>Sheet1!J33</f>
        <v>Needwood Estate,Haldummulla,Badulla.</v>
      </c>
      <c r="H33" s="5" t="str">
        <f t="shared" si="0"/>
        <v xml:space="preserve"> View Map </v>
      </c>
    </row>
    <row r="34" spans="2:8" x14ac:dyDescent="0.2">
      <c r="B34" s="4" t="str">
        <f>PROPER(Sheet1!$B34&amp;" "&amp;"Tea Factory")</f>
        <v>Iddalgashinna Tea Factory</v>
      </c>
      <c r="F34" s="4" t="str">
        <f>Sheet1!G34</f>
        <v>Idalgashinna</v>
      </c>
      <c r="G34" s="4" t="str">
        <f>Sheet1!J34</f>
        <v>IddalgashinnaBandarawela</v>
      </c>
      <c r="H34" s="5" t="str">
        <f t="shared" si="0"/>
        <v xml:space="preserve"> View Map </v>
      </c>
    </row>
    <row r="35" spans="2:8" x14ac:dyDescent="0.2">
      <c r="B35" s="4" t="str">
        <f>PROPER(Sheet1!$B35&amp;" "&amp;"Tea Factory")</f>
        <v>Hellbodde Tea Factory</v>
      </c>
      <c r="F35" s="4" t="str">
        <f>Sheet1!G35</f>
        <v>Helbodde</v>
      </c>
      <c r="G35" s="4" t="str">
        <f>Sheet1!J35</f>
        <v>Hellbodde EstateKatukitula</v>
      </c>
      <c r="H35" s="5" t="str">
        <f t="shared" si="0"/>
        <v xml:space="preserve"> View Map </v>
      </c>
    </row>
    <row r="36" spans="2:8" x14ac:dyDescent="0.2">
      <c r="B36" s="4" t="str">
        <f>PROPER(Sheet1!$B36&amp;" "&amp;"Tea Factory")</f>
        <v>Handford Tea Factory</v>
      </c>
      <c r="F36" s="4" t="str">
        <f>Sheet1!G36</f>
        <v>Deniyaya</v>
      </c>
      <c r="G36" s="4" t="str">
        <f>Sheet1!J36</f>
        <v>Handford EstateDeniyaya</v>
      </c>
      <c r="H36" s="5" t="str">
        <f t="shared" si="0"/>
        <v xml:space="preserve"> View Map </v>
      </c>
    </row>
    <row r="37" spans="2:8" x14ac:dyDescent="0.2">
      <c r="B37" s="4" t="str">
        <f>PROPER(Sheet1!$B37&amp;" "&amp;"Tea Factory")</f>
        <v>Kelaneiya Estates  Tea Factory</v>
      </c>
      <c r="F37" s="4" t="str">
        <f>Sheet1!G37</f>
        <v>Maskeliya</v>
      </c>
      <c r="G37" s="4" t="str">
        <f>Sheet1!J37</f>
        <v>Kelaneiya EstateMaskeliya</v>
      </c>
      <c r="H37" s="5" t="str">
        <f t="shared" si="0"/>
        <v xml:space="preserve"> View Map </v>
      </c>
    </row>
    <row r="38" spans="2:8" x14ac:dyDescent="0.2">
      <c r="B38" s="4" t="str">
        <f>PROPER(Sheet1!$B38&amp;" "&amp;"Tea Factory")</f>
        <v>Anninkande Tea Factory</v>
      </c>
      <c r="F38" s="4" t="str">
        <f>Sheet1!G38</f>
        <v>Viharahena</v>
      </c>
      <c r="G38" s="4" t="str">
        <f>Sheet1!J38</f>
        <v>Aninkanda EstateDeniyaya</v>
      </c>
      <c r="H38" s="5" t="str">
        <f t="shared" si="0"/>
        <v xml:space="preserve"> View Map </v>
      </c>
    </row>
    <row r="39" spans="2:8" x14ac:dyDescent="0.2">
      <c r="B39" s="4" t="str">
        <f>PROPER(Sheet1!$B39&amp;" "&amp;"Tea Factory")</f>
        <v>Gouravilla Tea Factory</v>
      </c>
      <c r="F39" s="4">
        <f>Sheet1!G39</f>
        <v>0</v>
      </c>
      <c r="G39" s="4" t="str">
        <f>Sheet1!J39</f>
        <v>Gouravilla EstateUpcotMaskeliya</v>
      </c>
      <c r="H39" s="5" t="str">
        <f t="shared" si="0"/>
        <v xml:space="preserve"> View Map </v>
      </c>
    </row>
    <row r="40" spans="2:8" x14ac:dyDescent="0.2">
      <c r="B40" s="4" t="str">
        <f>PROPER(Sheet1!$B40&amp;" "&amp;"Tea Factory")</f>
        <v>Liddesdale  Tea Factory</v>
      </c>
      <c r="F40" s="4">
        <f>Sheet1!G40</f>
        <v>0</v>
      </c>
      <c r="G40" s="4" t="str">
        <f>Sheet1!J40</f>
        <v>Liddesdale GroupThe Standard Tea Co Of Ceylon Ltd,Clomessrs George Steuart and Co Ltd,PO Box 151,Colombo.</v>
      </c>
      <c r="H40" s="5" t="str">
        <f t="shared" si="0"/>
        <v xml:space="preserve"> View Map </v>
      </c>
    </row>
    <row r="41" spans="2:8" x14ac:dyDescent="0.2">
      <c r="B41" s="4" t="str">
        <f>PROPER(Sheet1!$B41&amp;" "&amp;"Tea Factory")</f>
        <v>Glenugie Tea Factory</v>
      </c>
      <c r="F41" s="4">
        <f>Sheet1!G41</f>
        <v>0</v>
      </c>
      <c r="G41" s="4">
        <f>Sheet1!J41</f>
        <v>0</v>
      </c>
      <c r="H41" s="5" t="str">
        <f t="shared" si="0"/>
        <v xml:space="preserve"> View Map </v>
      </c>
    </row>
    <row r="42" spans="2:8" x14ac:dyDescent="0.2">
      <c r="B42" s="4" t="str">
        <f>PROPER(Sheet1!$B42&amp;" "&amp;"Tea Factory")</f>
        <v>Kotiyagalla Tea Factory</v>
      </c>
      <c r="F42" s="4">
        <f>Sheet1!G42</f>
        <v>0</v>
      </c>
      <c r="G42" s="4" t="str">
        <f>Sheet1!J42</f>
        <v>Kotiyagalla GroupBagawantalawa</v>
      </c>
      <c r="H42" s="5" t="str">
        <f t="shared" si="0"/>
        <v xml:space="preserve"> View Map </v>
      </c>
    </row>
    <row r="43" spans="2:8" x14ac:dyDescent="0.2">
      <c r="B43" s="4" t="str">
        <f>PROPER(Sheet1!$B43&amp;" "&amp;"Tea Factory")</f>
        <v>Hoonoocotua Tea Factory</v>
      </c>
      <c r="F43" s="4">
        <f>Sheet1!G43</f>
        <v>0</v>
      </c>
      <c r="G43" s="4">
        <f>Sheet1!J43</f>
        <v>0</v>
      </c>
      <c r="H43" s="5" t="str">
        <f t="shared" si="0"/>
        <v xml:space="preserve"> View Map </v>
      </c>
    </row>
    <row r="44" spans="2:8" x14ac:dyDescent="0.2">
      <c r="B44" s="4" t="str">
        <f>PROPER(Sheet1!$B44&amp;" "&amp;"Tea Factory")</f>
        <v>Wattegodde Tea Factory</v>
      </c>
      <c r="F44" s="4">
        <f>Sheet1!G44</f>
        <v>0</v>
      </c>
      <c r="G44" s="4" t="str">
        <f>Sheet1!J44</f>
        <v>Wattegoda Estate</v>
      </c>
      <c r="H44" s="5" t="str">
        <f t="shared" si="0"/>
        <v xml:space="preserve"> View Map </v>
      </c>
    </row>
    <row r="45" spans="2:8" x14ac:dyDescent="0.2">
      <c r="B45" s="4" t="str">
        <f>PROPER(Sheet1!$B45&amp;" "&amp;"Tea Factory")</f>
        <v>St.Leonards Tea Factory</v>
      </c>
      <c r="F45" s="4">
        <f>Sheet1!G45</f>
        <v>0</v>
      </c>
      <c r="G45" s="4" t="str">
        <f>Sheet1!J45</f>
        <v>Leonards Groupragala, Halgranoya</v>
      </c>
      <c r="H45" s="5" t="str">
        <f t="shared" si="0"/>
        <v xml:space="preserve"> View Map </v>
      </c>
    </row>
    <row r="46" spans="2:8" x14ac:dyDescent="0.2">
      <c r="B46" s="4" t="str">
        <f>PROPER(Sheet1!$B46&amp;" "&amp;"Tea Factory")</f>
        <v>Eskdale Tea Factory</v>
      </c>
      <c r="F46" s="4">
        <f>Sheet1!G46</f>
        <v>0</v>
      </c>
      <c r="G46" s="4" t="str">
        <f>Sheet1!J46</f>
        <v>Eskdale EstateUdupussellawa Plantation Ltd,Palm Garden,PO Box 08,Ratnapura.</v>
      </c>
      <c r="H46" s="5" t="str">
        <f t="shared" si="0"/>
        <v xml:space="preserve"> View Map </v>
      </c>
    </row>
    <row r="47" spans="2:8" x14ac:dyDescent="0.2">
      <c r="B47" s="4" t="str">
        <f>PROPER(Sheet1!$B47&amp;" "&amp;"Tea Factory")</f>
        <v>Devitura Tea Factory</v>
      </c>
      <c r="F47" s="4" t="str">
        <f>Sheet1!G47</f>
        <v>Devithurai</v>
      </c>
      <c r="G47" s="4" t="str">
        <f>Sheet1!J47</f>
        <v>Deviturai EstateEthkandura Elpitiya</v>
      </c>
      <c r="H47" s="5" t="str">
        <f t="shared" si="0"/>
        <v xml:space="preserve"> View Map </v>
      </c>
    </row>
    <row r="48" spans="2:8" x14ac:dyDescent="0.2">
      <c r="B48" s="4" t="str">
        <f>PROPER(Sheet1!$B48&amp;" "&amp;"Tea Factory")</f>
        <v>Malgolla Tea Factory</v>
      </c>
      <c r="F48" s="4" t="str">
        <f>Sheet1!G48</f>
        <v>Gamagoda</v>
      </c>
      <c r="G48" s="4" t="str">
        <f>Sheet1!J48</f>
        <v>Dolosbage,Kandy.</v>
      </c>
      <c r="H48" s="5" t="str">
        <f t="shared" si="0"/>
        <v xml:space="preserve"> View Map </v>
      </c>
    </row>
    <row r="49" spans="2:8" x14ac:dyDescent="0.2">
      <c r="B49" s="4" t="str">
        <f>PROPER(Sheet1!$B49&amp;" "&amp;"Tea Factory")</f>
        <v>Blue Field Tea Factory</v>
      </c>
      <c r="F49" s="4" t="str">
        <f>Sheet1!G49</f>
        <v>Kothmale</v>
      </c>
      <c r="G49" s="4" t="str">
        <f>Sheet1!J49</f>
        <v>PalagollaKothmaleRambodaN'Eliya</v>
      </c>
      <c r="H49" s="5" t="str">
        <f t="shared" si="0"/>
        <v xml:space="preserve"> View Map </v>
      </c>
    </row>
    <row r="50" spans="2:8" x14ac:dyDescent="0.2">
      <c r="B50" s="4" t="str">
        <f>PROPER(Sheet1!$B50&amp;" "&amp;"Tea Factory")</f>
        <v>Sanasa Tea Factory</v>
      </c>
      <c r="F50" s="4" t="str">
        <f>Sheet1!G50</f>
        <v>Baddegama</v>
      </c>
      <c r="G50" s="4" t="str">
        <f>Sheet1!J50</f>
        <v>Yahaladuwa EstateBaddegama</v>
      </c>
      <c r="H50" s="5" t="str">
        <f t="shared" si="0"/>
        <v xml:space="preserve"> View Map </v>
      </c>
    </row>
    <row r="51" spans="2:8" x14ac:dyDescent="0.2">
      <c r="B51" s="4" t="str">
        <f>PROPER(Sheet1!$B51&amp;" "&amp;"Tea Factory")</f>
        <v>Weihena Tea Factory</v>
      </c>
      <c r="F51" s="4">
        <f>Sheet1!G51</f>
        <v>0</v>
      </c>
      <c r="G51" s="4" t="str">
        <f>Sheet1!J51</f>
        <v>Weihena ,Baddegama.</v>
      </c>
      <c r="H51" s="5" t="str">
        <f t="shared" si="0"/>
        <v xml:space="preserve"> View Map </v>
      </c>
    </row>
    <row r="52" spans="2:8" x14ac:dyDescent="0.2">
      <c r="B52" s="4" t="str">
        <f>PROPER(Sheet1!$B52&amp;" "&amp;"Tea Factory")</f>
        <v>Vogan Tea Factory</v>
      </c>
      <c r="F52" s="4">
        <f>Sheet1!G52</f>
        <v>0</v>
      </c>
      <c r="G52" s="4" t="str">
        <f>Sheet1!J52</f>
        <v>Vogan Estate,MathugamaKAlutara</v>
      </c>
      <c r="H52" s="5" t="str">
        <f t="shared" si="0"/>
        <v xml:space="preserve"> View Map </v>
      </c>
    </row>
    <row r="53" spans="2:8" x14ac:dyDescent="0.2">
      <c r="B53" s="4" t="str">
        <f>PROPER(Sheet1!$B53&amp;" "&amp;"Tea Factory")</f>
        <v>Rilhena  Tea Factory</v>
      </c>
      <c r="F53" s="4">
        <f>Sheet1!G53</f>
        <v>0</v>
      </c>
      <c r="G53" s="4" t="str">
        <f>Sheet1!J53</f>
        <v>Rilhena EstatePelmadulla</v>
      </c>
      <c r="H53" s="5" t="str">
        <f t="shared" si="0"/>
        <v xml:space="preserve"> View Map </v>
      </c>
    </row>
    <row r="54" spans="2:8" x14ac:dyDescent="0.2">
      <c r="B54" s="4" t="str">
        <f>PROPER(Sheet1!$B54&amp;" "&amp;"Tea Factory")</f>
        <v>Noori  Tea Factory</v>
      </c>
      <c r="F54" s="4" t="str">
        <f>Sheet1!G54</f>
        <v>Dodhawatte</v>
      </c>
      <c r="G54" s="4" t="str">
        <f>Sheet1!J54</f>
        <v>Noori Estate,Noori.</v>
      </c>
      <c r="H54" s="5" t="str">
        <f t="shared" si="0"/>
        <v xml:space="preserve"> View Map </v>
      </c>
    </row>
    <row r="55" spans="2:8" x14ac:dyDescent="0.2">
      <c r="B55" s="4" t="str">
        <f>PROPER(Sheet1!$B55&amp;" "&amp;"Tea Factory")</f>
        <v>Maskeliya Tea Factory</v>
      </c>
      <c r="F55" s="4">
        <f>Sheet1!G55</f>
        <v>0</v>
      </c>
      <c r="G55" s="4">
        <f>Sheet1!J55</f>
        <v>0</v>
      </c>
      <c r="H55" s="5" t="str">
        <f t="shared" si="0"/>
        <v xml:space="preserve"> View Map </v>
      </c>
    </row>
    <row r="56" spans="2:8" x14ac:dyDescent="0.2">
      <c r="B56" s="4" t="str">
        <f>PROPER(Sheet1!$B56&amp;" "&amp;"Tea Factory")</f>
        <v>Ancoombra Tea Factory</v>
      </c>
      <c r="F56" s="4" t="str">
        <f>Sheet1!G56</f>
        <v>Ankumbura</v>
      </c>
      <c r="G56" s="4" t="str">
        <f>Sheet1!J56</f>
        <v>Meezan Ancoombra Plantation (Pvt) Ltd392Maha Veediya,Matale.</v>
      </c>
      <c r="H56" s="5" t="str">
        <f t="shared" si="0"/>
        <v xml:space="preserve"> View Map </v>
      </c>
    </row>
    <row r="57" spans="2:8" x14ac:dyDescent="0.2">
      <c r="B57" s="4" t="str">
        <f>PROPER(Sheet1!$B57&amp;" "&amp;"Tea Factory")</f>
        <v>Alpitikanda Tea Factory</v>
      </c>
      <c r="F57" s="4" t="str">
        <f>Sheet1!G57</f>
        <v>Paranapitiya</v>
      </c>
      <c r="G57" s="4" t="str">
        <f>Sheet1!J57</f>
        <v>Paranapitiya,Wattappola.</v>
      </c>
      <c r="H57" s="5" t="str">
        <f t="shared" si="0"/>
        <v xml:space="preserve"> View Map </v>
      </c>
    </row>
    <row r="58" spans="2:8" x14ac:dyDescent="0.2">
      <c r="B58" s="4" t="str">
        <f>PROPER(Sheet1!$B58&amp;" "&amp;"Tea Factory")</f>
        <v>Ettapolla Tea Factory</v>
      </c>
      <c r="F58" s="4" t="str">
        <f>Sheet1!G58</f>
        <v>Makulemada</v>
      </c>
      <c r="G58" s="4" t="str">
        <f>Sheet1!J58</f>
        <v>Ettapola EstateOvilikanda</v>
      </c>
      <c r="H58" s="5" t="str">
        <f t="shared" si="0"/>
        <v xml:space="preserve"> View Map </v>
      </c>
    </row>
    <row r="59" spans="2:8" x14ac:dyDescent="0.2">
      <c r="B59" s="4" t="str">
        <f>PROPER(Sheet1!$B59&amp;" "&amp;"Tea Factory")</f>
        <v>Ellakanda Tea Factory</v>
      </c>
      <c r="F59" s="4" t="str">
        <f>Sheet1!G59</f>
        <v>Baddegama East</v>
      </c>
      <c r="G59" s="4" t="str">
        <f>Sheet1!J59</f>
        <v>Ellakanda EstateBaddegama</v>
      </c>
      <c r="H59" s="5" t="str">
        <f t="shared" si="0"/>
        <v xml:space="preserve"> View Map </v>
      </c>
    </row>
    <row r="60" spans="2:8" x14ac:dyDescent="0.2">
      <c r="B60" s="4" t="str">
        <f>PROPER(Sheet1!$B60&amp;" "&amp;"Tea Factory")</f>
        <v>Iddamaldeniya  Tea Factory</v>
      </c>
      <c r="F60" s="4" t="str">
        <f>Sheet1!G60</f>
        <v>Nawangala</v>
      </c>
      <c r="G60" s="4" t="str">
        <f>Sheet1!J60</f>
        <v>Naungala,Kottawagama,Galle.</v>
      </c>
      <c r="H60" s="5" t="str">
        <f t="shared" si="0"/>
        <v xml:space="preserve"> View Map </v>
      </c>
    </row>
    <row r="61" spans="2:8" x14ac:dyDescent="0.2">
      <c r="B61" s="4" t="str">
        <f>PROPER(Sheet1!$B61&amp;" "&amp;"Tea Factory")</f>
        <v>Opatha  Tea Factory</v>
      </c>
      <c r="F61" s="4">
        <f>Sheet1!G61</f>
        <v>0</v>
      </c>
      <c r="G61" s="4" t="str">
        <f>Sheet1!J61</f>
        <v>Opata EstateKahawatte</v>
      </c>
      <c r="H61" s="5" t="str">
        <f t="shared" si="0"/>
        <v xml:space="preserve"> View Map </v>
      </c>
    </row>
    <row r="62" spans="2:8" x14ac:dyDescent="0.2">
      <c r="B62" s="4" t="str">
        <f>PROPER(Sheet1!$B62&amp;" "&amp;"Tea Factory")</f>
        <v>Wellandura  Tea Factory</v>
      </c>
      <c r="F62" s="4">
        <f>Sheet1!G62</f>
        <v>0</v>
      </c>
      <c r="G62" s="4" t="str">
        <f>Sheet1!J62</f>
        <v>Wellandura EstateKahawatte</v>
      </c>
      <c r="H62" s="5" t="str">
        <f t="shared" si="0"/>
        <v xml:space="preserve"> View Map </v>
      </c>
    </row>
    <row r="63" spans="2:8" x14ac:dyDescent="0.2">
      <c r="B63" s="4" t="str">
        <f>PROPER(Sheet1!$B63&amp;" "&amp;"Tea Factory")</f>
        <v>Cannavarella  Tea Factory</v>
      </c>
      <c r="F63" s="4">
        <f>Sheet1!G63</f>
        <v>0</v>
      </c>
      <c r="G63" s="4" t="str">
        <f>Sheet1!J63</f>
        <v>Namunukula.PassaraBadulla</v>
      </c>
      <c r="H63" s="5" t="str">
        <f t="shared" si="0"/>
        <v xml:space="preserve"> View Map </v>
      </c>
    </row>
    <row r="64" spans="2:8" x14ac:dyDescent="0.2">
      <c r="B64" s="4" t="str">
        <f>PROPER(Sheet1!$B64&amp;" "&amp;"Tea Factory")</f>
        <v>Mahawale  Tea Factory</v>
      </c>
      <c r="F64" s="4">
        <f>Sheet1!G64</f>
        <v>0</v>
      </c>
      <c r="G64" s="4" t="str">
        <f>Sheet1!J64</f>
        <v>Mahawala EstateRatnapura</v>
      </c>
      <c r="H64" s="5" t="str">
        <f t="shared" si="0"/>
        <v xml:space="preserve"> View Map </v>
      </c>
    </row>
    <row r="65" spans="2:8" x14ac:dyDescent="0.2">
      <c r="B65" s="4" t="str">
        <f>PROPER(Sheet1!$B65&amp;" "&amp;"Tea Factory")</f>
        <v>Nilagama  Tea Factory</v>
      </c>
      <c r="F65" s="4">
        <f>Sheet1!G65</f>
        <v>0</v>
      </c>
      <c r="G65" s="4" t="str">
        <f>Sheet1!J65</f>
        <v>Palmadulla Estate,Kahawatte.</v>
      </c>
      <c r="H65" s="5" t="str">
        <f t="shared" si="0"/>
        <v xml:space="preserve"> View Map </v>
      </c>
    </row>
    <row r="66" spans="2:8" x14ac:dyDescent="0.2">
      <c r="B66" s="4" t="str">
        <f>PROPER(Sheet1!$B66&amp;" "&amp;"Tea Factory")</f>
        <v>Poronuwa Tea Factory</v>
      </c>
      <c r="F66" s="4">
        <f>Sheet1!G66</f>
        <v>0</v>
      </c>
      <c r="G66" s="4" t="str">
        <f>Sheet1!J66</f>
        <v>Poronuwa Estate,Kahawatte.</v>
      </c>
      <c r="H66" s="5" t="str">
        <f t="shared" si="0"/>
        <v xml:space="preserve"> View Map </v>
      </c>
    </row>
    <row r="67" spans="2:8" x14ac:dyDescent="0.2">
      <c r="B67" s="4" t="str">
        <f>PROPER(Sheet1!$B67&amp;" "&amp;"Tea Factory")</f>
        <v>Geragama Tea Factory</v>
      </c>
      <c r="F67" s="4">
        <f>Sheet1!G67</f>
        <v>0</v>
      </c>
      <c r="G67" s="4" t="str">
        <f>Sheet1!J67</f>
        <v>Giragama Estatepilimatalawa</v>
      </c>
      <c r="H67" s="5" t="str">
        <f t="shared" si="0"/>
        <v xml:space="preserve"> View Map </v>
      </c>
    </row>
    <row r="68" spans="2:8" x14ac:dyDescent="0.2">
      <c r="B68" s="4" t="str">
        <f>PROPER(Sheet1!$B68&amp;" "&amp;"Tea Factory")</f>
        <v>Rasota Tea Factory</v>
      </c>
      <c r="F68" s="4">
        <f>Sheet1!G68</f>
        <v>0</v>
      </c>
      <c r="G68" s="4" t="str">
        <f>Sheet1!J68</f>
        <v>EllaElpitiyaGalle</v>
      </c>
      <c r="H68" s="5" t="str">
        <f t="shared" si="0"/>
        <v xml:space="preserve"> View Map </v>
      </c>
    </row>
    <row r="69" spans="2:8" x14ac:dyDescent="0.2">
      <c r="B69" s="4" t="str">
        <f>PROPER(Sheet1!$B69&amp;" "&amp;"Tea Factory")</f>
        <v>Mahaweli Tea Shakthi  Tea Factory</v>
      </c>
      <c r="F69" s="4">
        <f>Sheet1!G69</f>
        <v>0</v>
      </c>
      <c r="G69" s="4" t="str">
        <f>Sheet1!J69</f>
        <v>Ruwanpura,Nawalapitiya.</v>
      </c>
      <c r="H69" s="5" t="str">
        <f t="shared" si="0"/>
        <v xml:space="preserve"> View Map </v>
      </c>
    </row>
    <row r="70" spans="2:8" x14ac:dyDescent="0.2">
      <c r="B70" s="4" t="str">
        <f>PROPER(Sheet1!$B70&amp;" "&amp;"Tea Factory")</f>
        <v>Kings Valley Tea Factory</v>
      </c>
      <c r="F70" s="4" t="str">
        <f>Sheet1!G70</f>
        <v>Atabage</v>
      </c>
      <c r="G70" s="4" t="str">
        <f>Sheet1!J70</f>
        <v>Sanquare Estate, Pallegama,Atabage.</v>
      </c>
      <c r="H70" s="5" t="str">
        <f t="shared" si="0"/>
        <v xml:space="preserve"> View Map </v>
      </c>
    </row>
    <row r="71" spans="2:8" x14ac:dyDescent="0.2">
      <c r="B71" s="4" t="str">
        <f>PROPER(Sheet1!$B71&amp;" "&amp;"Tea Factory")</f>
        <v>Pimburagala Tea Factory</v>
      </c>
      <c r="F71" s="4" t="str">
        <f>Sheet1!G71</f>
        <v>Urala</v>
      </c>
      <c r="G71" s="4" t="str">
        <f>Sheet1!J71</f>
        <v>UralaWandurambaGalle</v>
      </c>
      <c r="H71" s="5" t="str">
        <f t="shared" si="0"/>
        <v xml:space="preserve"> View Map </v>
      </c>
    </row>
    <row r="72" spans="2:8" x14ac:dyDescent="0.2">
      <c r="B72" s="4" t="str">
        <f>PROPER(Sheet1!$B72&amp;" "&amp;"Tea Factory")</f>
        <v>Mahatenne Tea Factory</v>
      </c>
      <c r="F72" s="4" t="str">
        <f>Sheet1!G72</f>
        <v>NULL</v>
      </c>
      <c r="G72" s="4">
        <f>Sheet1!J72</f>
        <v>0</v>
      </c>
      <c r="H72" s="5" t="str">
        <f t="shared" si="0"/>
        <v xml:space="preserve"> View Map </v>
      </c>
    </row>
    <row r="73" spans="2:8" x14ac:dyDescent="0.2">
      <c r="B73" s="4" t="str">
        <f>PROPER(Sheet1!$B73&amp;" "&amp;"Tea Factory")</f>
        <v>Erin Tea Factory</v>
      </c>
      <c r="F73" s="4" t="str">
        <f>Sheet1!G73</f>
        <v>Galaha</v>
      </c>
      <c r="G73" s="4" t="str">
        <f>Sheet1!J73</f>
        <v>Erin Estate,Panvilatenna.</v>
      </c>
      <c r="H73" s="5" t="str">
        <f t="shared" si="0"/>
        <v xml:space="preserve"> View Map </v>
      </c>
    </row>
    <row r="74" spans="2:8" x14ac:dyDescent="0.2">
      <c r="B74" s="4" t="str">
        <f>PROPER(Sheet1!$B74&amp;" "&amp;"Tea Factory")</f>
        <v>Alma Tea Factory</v>
      </c>
      <c r="F74" s="4">
        <f>Sheet1!G74</f>
        <v>0</v>
      </c>
      <c r="G74" s="4" t="str">
        <f>Sheet1!J74</f>
        <v>Alma Estate,Kadapola.</v>
      </c>
      <c r="H74" s="5" t="str">
        <f t="shared" si="0"/>
        <v xml:space="preserve"> View Map </v>
      </c>
    </row>
    <row r="75" spans="2:8" x14ac:dyDescent="0.2">
      <c r="B75" s="4" t="str">
        <f>PROPER(Sheet1!$B75&amp;" "&amp;"Tea Factory")</f>
        <v>Sirimevana Tea Factory</v>
      </c>
      <c r="F75" s="4">
        <f>Sheet1!G75</f>
        <v>0</v>
      </c>
      <c r="G75" s="4" t="str">
        <f>Sheet1!J75</f>
        <v>SirimewanaYakkalamulla</v>
      </c>
      <c r="H75" s="5" t="str">
        <f t="shared" si="0"/>
        <v xml:space="preserve"> View Map </v>
      </c>
    </row>
    <row r="76" spans="2:8" x14ac:dyDescent="0.2">
      <c r="B76" s="4" t="str">
        <f>PROPER(Sheet1!$B76&amp;" "&amp;"Tea Factory")</f>
        <v>Ferham Tea Factory</v>
      </c>
      <c r="F76" s="4" t="str">
        <f>Sheet1!G76</f>
        <v>Lindula</v>
      </c>
      <c r="G76" s="4" t="str">
        <f>Sheet1!J76</f>
        <v>Ferham EstateTalawakelle</v>
      </c>
      <c r="H76" s="5" t="str">
        <f t="shared" si="0"/>
        <v xml:space="preserve"> View Map </v>
      </c>
    </row>
    <row r="77" spans="2:8" x14ac:dyDescent="0.2">
      <c r="B77" s="4" t="str">
        <f>PROPER(Sheet1!$B77&amp;" "&amp;"Tea Factory")</f>
        <v>Gallebodde Tea Factory</v>
      </c>
      <c r="F77" s="4">
        <f>Sheet1!G77</f>
        <v>0</v>
      </c>
      <c r="G77" s="4" t="str">
        <f>Sheet1!J77</f>
        <v>Galaboda Estate</v>
      </c>
      <c r="H77" s="5" t="str">
        <f t="shared" si="0"/>
        <v xml:space="preserve"> View Map </v>
      </c>
    </row>
    <row r="78" spans="2:8" x14ac:dyDescent="0.2">
      <c r="B78" s="4" t="str">
        <f>PROPER(Sheet1!$B78&amp;" "&amp;"Tea Factory")</f>
        <v>Rayigama Tea Factory</v>
      </c>
      <c r="F78" s="4">
        <f>Sheet1!G78</f>
        <v>0</v>
      </c>
      <c r="G78" s="4" t="str">
        <f>Sheet1!J78</f>
        <v>Raygama EstateIngiriyaKalutara</v>
      </c>
      <c r="H78" s="5" t="str">
        <f t="shared" si="0"/>
        <v xml:space="preserve"> View Map </v>
      </c>
    </row>
    <row r="79" spans="2:8" x14ac:dyDescent="0.2">
      <c r="B79" s="4" t="str">
        <f>PROPER(Sheet1!$B79&amp;" "&amp;"Tea Factory")</f>
        <v>Raxawa Tea Factory</v>
      </c>
      <c r="F79" s="4" t="str">
        <f>Sheet1!G79</f>
        <v>Panwila</v>
      </c>
      <c r="G79" s="4" t="str">
        <f>Sheet1!J79</f>
        <v>Panwila,Kandy.</v>
      </c>
      <c r="H79" s="5" t="str">
        <f t="shared" si="0"/>
        <v xml:space="preserve"> View Map </v>
      </c>
    </row>
    <row r="80" spans="2:8" x14ac:dyDescent="0.2">
      <c r="B80" s="4" t="str">
        <f>PROPER(Sheet1!$B80&amp;" "&amp;"Tea Factory")</f>
        <v>Hagalla Tea Factory</v>
      </c>
      <c r="F80" s="4">
        <f>Sheet1!G80</f>
        <v>0</v>
      </c>
      <c r="G80" s="4" t="str">
        <f>Sheet1!J80</f>
        <v>Hagalla Estate</v>
      </c>
      <c r="H80" s="5" t="str">
        <f t="shared" si="0"/>
        <v xml:space="preserve"> View Map </v>
      </c>
    </row>
    <row r="81" spans="2:8" x14ac:dyDescent="0.2">
      <c r="B81" s="4" t="str">
        <f>PROPER(Sheet1!$B81&amp;" "&amp;"Tea Factory")</f>
        <v>New Orayan Tea Factory</v>
      </c>
      <c r="F81" s="4">
        <f>Sheet1!G81</f>
        <v>0</v>
      </c>
      <c r="G81" s="4" t="str">
        <f>Sheet1!J81</f>
        <v>Orayan Estate,Wewathenna,Gampola.</v>
      </c>
      <c r="H81" s="5" t="str">
        <f t="shared" si="0"/>
        <v xml:space="preserve"> View Map </v>
      </c>
    </row>
    <row r="82" spans="2:8" x14ac:dyDescent="0.2">
      <c r="B82" s="4" t="str">
        <f>PROPER(Sheet1!$B82&amp;" "&amp;"Tea Factory")</f>
        <v>Uva Ketawella Tea Factory</v>
      </c>
      <c r="F82" s="4">
        <f>Sheet1!G82</f>
        <v>0</v>
      </c>
      <c r="G82" s="4" t="str">
        <f>Sheet1!J82</f>
        <v>Dickwella EstateHali-Ela</v>
      </c>
      <c r="H82" s="5" t="str">
        <f t="shared" si="0"/>
        <v xml:space="preserve"> View Map </v>
      </c>
    </row>
    <row r="83" spans="2:8" x14ac:dyDescent="0.2">
      <c r="B83" s="4" t="str">
        <f>PROPER(Sheet1!$B83&amp;" "&amp;"Tea Factory")</f>
        <v>St James  Tea Factory</v>
      </c>
      <c r="F83" s="4" t="str">
        <f>Sheet1!G83</f>
        <v>Hali-Ela</v>
      </c>
      <c r="G83" s="4" t="str">
        <f>Sheet1!J83</f>
        <v>Hali Ella</v>
      </c>
      <c r="H83" s="5" t="str">
        <f t="shared" si="0"/>
        <v xml:space="preserve"> View Map </v>
      </c>
    </row>
    <row r="84" spans="2:8" x14ac:dyDescent="0.2">
      <c r="B84" s="4" t="str">
        <f>PROPER(Sheet1!$B84&amp;" "&amp;"Tea Factory")</f>
        <v>Uva Highlands  Tea Factory</v>
      </c>
      <c r="F84" s="4">
        <f>Sheet1!G84</f>
        <v>0</v>
      </c>
      <c r="G84" s="4" t="str">
        <f>Sheet1!J84</f>
        <v>Uva Hilands EstateBandarawela</v>
      </c>
      <c r="H84" s="5" t="str">
        <f t="shared" si="0"/>
        <v xml:space="preserve"> View Map </v>
      </c>
    </row>
    <row r="85" spans="2:8" x14ac:dyDescent="0.2">
      <c r="B85" s="4" t="str">
        <f>PROPER(Sheet1!$B85&amp;" "&amp;"Tea Factory")</f>
        <v>Stockholm  Tea Factory</v>
      </c>
      <c r="F85" s="4" t="str">
        <f>Sheet1!G85</f>
        <v>Upcot</v>
      </c>
      <c r="G85" s="4" t="str">
        <f>Sheet1!J85</f>
        <v>Stockholm EstateNorwood</v>
      </c>
      <c r="H85" s="5" t="str">
        <f t="shared" si="0"/>
        <v xml:space="preserve"> View Map </v>
      </c>
    </row>
    <row r="86" spans="2:8" x14ac:dyDescent="0.2">
      <c r="B86" s="4" t="str">
        <f>PROPER(Sheet1!$B86&amp;" "&amp;"Tea Factory")</f>
        <v>Pussatenna Tea Factory</v>
      </c>
      <c r="F86" s="4" t="str">
        <f>Sheet1!G86</f>
        <v>Lagumdeniya</v>
      </c>
      <c r="G86" s="4" t="str">
        <f>Sheet1!J86</f>
        <v>Pussatenne Estate,Panvilatenna,Gampola.</v>
      </c>
      <c r="H86" s="5" t="str">
        <f t="shared" si="0"/>
        <v xml:space="preserve"> View Map </v>
      </c>
    </row>
    <row r="87" spans="2:8" x14ac:dyDescent="0.2">
      <c r="B87" s="4" t="str">
        <f>PROPER(Sheet1!$B87&amp;" "&amp;"Tea Factory")</f>
        <v>Neluwa  Tea Factory</v>
      </c>
      <c r="F87" s="4">
        <f>Sheet1!G87</f>
        <v>0</v>
      </c>
      <c r="G87" s="4" t="str">
        <f>Sheet1!J87</f>
        <v>Neluwa EstateBandarawela</v>
      </c>
      <c r="H87" s="5" t="str">
        <f t="shared" si="0"/>
        <v xml:space="preserve"> View Map </v>
      </c>
    </row>
    <row r="88" spans="2:8" x14ac:dyDescent="0.2">
      <c r="B88" s="4" t="str">
        <f>PROPER(Sheet1!$B88&amp;" "&amp;"Tea Factory")</f>
        <v>Imboolpitiya Tea Factory</v>
      </c>
      <c r="F88" s="4">
        <f>Sheet1!G88</f>
        <v>0</v>
      </c>
      <c r="G88" s="4" t="str">
        <f>Sheet1!J88</f>
        <v>Imbulpitiya EstateNawalapitiya</v>
      </c>
      <c r="H88" s="5" t="str">
        <f t="shared" si="0"/>
        <v xml:space="preserve"> View Map </v>
      </c>
    </row>
    <row r="89" spans="2:8" x14ac:dyDescent="0.2">
      <c r="B89" s="4" t="str">
        <f>PROPER(Sheet1!$B89&amp;" "&amp;"Tea Factory")</f>
        <v>Embuldeniya  Tea Factory</v>
      </c>
      <c r="F89" s="4">
        <f>Sheet1!G89</f>
        <v>0</v>
      </c>
      <c r="G89" s="4" t="str">
        <f>Sheet1!J89</f>
        <v>EmbuldeniyaRatnapura</v>
      </c>
      <c r="H89" s="5" t="str">
        <f t="shared" si="0"/>
        <v xml:space="preserve"> View Map </v>
      </c>
    </row>
    <row r="90" spans="2:8" x14ac:dyDescent="0.2">
      <c r="B90" s="4" t="str">
        <f>PROPER(Sheet1!$B90&amp;" "&amp;"Tea Factory")</f>
        <v>Endane Tea Factory</v>
      </c>
      <c r="F90" s="4">
        <f>Sheet1!G90</f>
        <v>0</v>
      </c>
      <c r="G90" s="4" t="str">
        <f>Sheet1!J90</f>
        <v>Endane EstateKahawatte</v>
      </c>
      <c r="H90" s="5" t="str">
        <f t="shared" si="0"/>
        <v xml:space="preserve"> View Map </v>
      </c>
    </row>
    <row r="91" spans="2:8" x14ac:dyDescent="0.2">
      <c r="B91" s="4" t="str">
        <f>PROPER(Sheet1!$B91&amp;" "&amp;"Tea Factory")</f>
        <v>Diyanillakelle  Tea Factory</v>
      </c>
      <c r="F91" s="4" t="str">
        <f>Sheet1!G91</f>
        <v>Diyanillakelle</v>
      </c>
      <c r="G91" s="4" t="str">
        <f>Sheet1!J91</f>
        <v>Diyanilakelle Estate,Lindula 22090.</v>
      </c>
      <c r="H91" s="5" t="str">
        <f t="shared" si="0"/>
        <v xml:space="preserve"> View Map </v>
      </c>
    </row>
    <row r="92" spans="2:8" x14ac:dyDescent="0.2">
      <c r="B92" s="4" t="str">
        <f>PROPER(Sheet1!$B92&amp;" "&amp;"Tea Factory")</f>
        <v>Castlemilk Tea Factory</v>
      </c>
      <c r="F92" s="4" t="str">
        <f>Sheet1!G92</f>
        <v>Panwilatenne</v>
      </c>
      <c r="G92" s="4" t="str">
        <f>Sheet1!J92</f>
        <v>Panwilatenna,Gampola.</v>
      </c>
      <c r="H92" s="5" t="str">
        <f t="shared" si="0"/>
        <v xml:space="preserve"> View Map </v>
      </c>
    </row>
    <row r="93" spans="2:8" x14ac:dyDescent="0.2">
      <c r="B93" s="4" t="str">
        <f>PROPER(Sheet1!$B93&amp;" "&amp;"Tea Factory")</f>
        <v>Baranagala Tea Factory</v>
      </c>
      <c r="F93" s="4" t="str">
        <f>Sheet1!G93</f>
        <v>Dolosbage</v>
      </c>
      <c r="G93" s="4" t="str">
        <f>Sheet1!J93</f>
        <v>Raxawa,Udahentenna.</v>
      </c>
      <c r="H93" s="5" t="str">
        <f t="shared" si="0"/>
        <v xml:space="preserve"> View Map </v>
      </c>
    </row>
    <row r="94" spans="2:8" x14ac:dyDescent="0.2">
      <c r="B94" s="4" t="str">
        <f>PROPER(Sheet1!$B94&amp;" "&amp;"Tea Factory")</f>
        <v>Bramley Tea Factory</v>
      </c>
      <c r="F94" s="4" t="str">
        <f>Sheet1!G94</f>
        <v>Kandapola</v>
      </c>
      <c r="G94" s="4" t="str">
        <f>Sheet1!J94</f>
        <v>Bramley Estate,Kandapola.</v>
      </c>
      <c r="H94" s="5" t="str">
        <f t="shared" si="0"/>
        <v xml:space="preserve"> View Map </v>
      </c>
    </row>
    <row r="95" spans="2:8" x14ac:dyDescent="0.2">
      <c r="B95" s="4" t="str">
        <f>PROPER(Sheet1!$B95&amp;" "&amp;"Tea Factory")</f>
        <v>Oonagalla Tea Factory</v>
      </c>
      <c r="F95" s="4">
        <f>Sheet1!G95</f>
        <v>0</v>
      </c>
      <c r="G95" s="4">
        <f>Sheet1!J95</f>
        <v>0</v>
      </c>
      <c r="H95" s="5" t="str">
        <f t="shared" si="0"/>
        <v xml:space="preserve"> View Map </v>
      </c>
    </row>
    <row r="96" spans="2:8" x14ac:dyDescent="0.2">
      <c r="B96" s="4" t="str">
        <f>PROPER(Sheet1!$B96&amp;" "&amp;"Tea Factory")</f>
        <v>Ceciliyan  Tea Factory</v>
      </c>
      <c r="F96" s="4">
        <f>Sheet1!G96</f>
        <v>0</v>
      </c>
      <c r="G96" s="4" t="str">
        <f>Sheet1!J96</f>
        <v>Ceciliyan EstateThapaswarakandaKalawanaRatnapura</v>
      </c>
      <c r="H96" s="5" t="str">
        <f t="shared" si="0"/>
        <v xml:space="preserve"> View Map </v>
      </c>
    </row>
    <row r="97" spans="2:8" x14ac:dyDescent="0.2">
      <c r="B97" s="4" t="str">
        <f>PROPER(Sheet1!$B97&amp;" "&amp;"Tea Factory")</f>
        <v>New Kandagastenne  Tea Factory</v>
      </c>
      <c r="F97" s="4">
        <f>Sheet1!G97</f>
        <v>0</v>
      </c>
      <c r="G97" s="4" t="str">
        <f>Sheet1!J97</f>
        <v>Bathgamgoda, Pelmadulla.</v>
      </c>
      <c r="H97" s="5" t="str">
        <f t="shared" si="0"/>
        <v xml:space="preserve"> View Map </v>
      </c>
    </row>
    <row r="98" spans="2:8" x14ac:dyDescent="0.2">
      <c r="B98" s="4" t="str">
        <f>PROPER(Sheet1!$B98&amp;" "&amp;"Tea Factory")</f>
        <v>Rekadahena  Tea Factory</v>
      </c>
      <c r="F98" s="4">
        <f>Sheet1!G98</f>
        <v>0</v>
      </c>
      <c r="G98" s="4" t="str">
        <f>Sheet1!J98</f>
        <v>Rekadahena EstateKahaduwa</v>
      </c>
      <c r="H98" s="5" t="str">
        <f t="shared" si="0"/>
        <v xml:space="preserve"> View Map </v>
      </c>
    </row>
    <row r="99" spans="2:8" x14ac:dyDescent="0.2">
      <c r="B99" s="4" t="str">
        <f>PROPER(Sheet1!$B99&amp;" "&amp;"Tea Factory")</f>
        <v>Gallinda Tea Factory</v>
      </c>
      <c r="F99" s="4">
        <f>Sheet1!G99</f>
        <v>0</v>
      </c>
      <c r="G99" s="4" t="str">
        <f>Sheet1!J99</f>
        <v>Talgaswela Estate</v>
      </c>
      <c r="H99" s="5" t="str">
        <f t="shared" si="0"/>
        <v xml:space="preserve"> View Map </v>
      </c>
    </row>
    <row r="100" spans="2:8" x14ac:dyDescent="0.2">
      <c r="B100" s="4" t="str">
        <f>PROPER(Sheet1!$B100&amp;" "&amp;"Tea Factory")</f>
        <v>Alagolla  Tea Factory</v>
      </c>
      <c r="F100" s="4" t="str">
        <f>Sheet1!G100</f>
        <v>Kiriwanagama</v>
      </c>
      <c r="G100" s="4" t="str">
        <f>Sheet1!J100</f>
        <v>Alagolla EstateUdapussellawa</v>
      </c>
      <c r="H100" s="5" t="str">
        <f t="shared" si="0"/>
        <v xml:space="preserve"> View Map </v>
      </c>
    </row>
    <row r="101" spans="2:8" x14ac:dyDescent="0.2">
      <c r="B101" s="4" t="str">
        <f>PROPER(Sheet1!$B101&amp;" "&amp;"Tea Factory")</f>
        <v>St. Coombs Tea Factory</v>
      </c>
      <c r="F101" s="4">
        <f>Sheet1!G101</f>
        <v>0</v>
      </c>
      <c r="G101" s="4" t="str">
        <f>Sheet1!J101</f>
        <v>Tea Research Institute,St. Coombs,Talawakelle.</v>
      </c>
      <c r="H101" s="5" t="str">
        <f t="shared" si="0"/>
        <v xml:space="preserve"> View Map </v>
      </c>
    </row>
    <row r="102" spans="2:8" x14ac:dyDescent="0.2">
      <c r="B102" s="4" t="str">
        <f>PROPER(Sheet1!$B102&amp;" "&amp;"Tea Factory")</f>
        <v>Mount Franion Tea Factory</v>
      </c>
      <c r="F102" s="4" t="str">
        <f>Sheet1!G102</f>
        <v>Dehigama</v>
      </c>
      <c r="G102" s="4" t="str">
        <f>Sheet1!J102</f>
        <v>MurutalawaKandy</v>
      </c>
      <c r="H102" s="5" t="str">
        <f t="shared" si="0"/>
        <v xml:space="preserve"> View Map </v>
      </c>
    </row>
    <row r="103" spans="2:8" x14ac:dyDescent="0.2">
      <c r="B103" s="4" t="str">
        <f>PROPER(Sheet1!$B103&amp;" "&amp;"Tea Factory")</f>
        <v>Avondale Tea Factory</v>
      </c>
      <c r="F103" s="4">
        <f>Sheet1!G103</f>
        <v>0</v>
      </c>
      <c r="G103" s="4" t="str">
        <f>Sheet1!J103</f>
        <v>GallellaRatnapura</v>
      </c>
      <c r="H103" s="5" t="str">
        <f t="shared" si="0"/>
        <v xml:space="preserve"> View Map </v>
      </c>
    </row>
    <row r="104" spans="2:8" x14ac:dyDescent="0.2">
      <c r="B104" s="4" t="str">
        <f>PROPER(Sheet1!$B104&amp;" "&amp;"Tea Factory")</f>
        <v>Kanuketiya Tea Factory</v>
      </c>
      <c r="F104" s="4" t="str">
        <f>Sheet1!G104</f>
        <v>Wahala kananke</v>
      </c>
      <c r="G104" s="4" t="str">
        <f>Sheet1!J104</f>
        <v>ImaduwaGalle</v>
      </c>
      <c r="H104" s="5" t="str">
        <f t="shared" si="0"/>
        <v xml:space="preserve"> View Map </v>
      </c>
    </row>
    <row r="105" spans="2:8" x14ac:dyDescent="0.2">
      <c r="B105" s="4" t="str">
        <f>PROPER(Sheet1!$B105&amp;" "&amp;"Tea Factory")</f>
        <v>Theberton Tea Factory</v>
      </c>
      <c r="F105" s="4" t="str">
        <f>Sheet1!G105</f>
        <v>Vedulipura</v>
      </c>
      <c r="G105" s="4" t="str">
        <f>Sheet1!J105</f>
        <v>4th Mile PostNorton brigde</v>
      </c>
      <c r="H105" s="5" t="str">
        <f t="shared" si="0"/>
        <v xml:space="preserve"> View Map </v>
      </c>
    </row>
    <row r="106" spans="2:8" x14ac:dyDescent="0.2">
      <c r="B106" s="4" t="str">
        <f>PROPER(Sheet1!$B106&amp;" "&amp;"Tea Factory")</f>
        <v>Pettiyagalla  Tea Factory</v>
      </c>
      <c r="F106" s="4">
        <f>Sheet1!G106</f>
        <v>0</v>
      </c>
      <c r="G106" s="4" t="str">
        <f>Sheet1!J106</f>
        <v>Pettiyagalla EstateRatnapura</v>
      </c>
      <c r="H106" s="5" t="str">
        <f t="shared" si="0"/>
        <v xml:space="preserve"> View Map </v>
      </c>
    </row>
    <row r="107" spans="2:8" x14ac:dyDescent="0.2">
      <c r="B107" s="4" t="str">
        <f>PROPER(Sheet1!$B107&amp;" "&amp;"Tea Factory")</f>
        <v>Lethenty Tea Factory</v>
      </c>
      <c r="F107" s="4">
        <f>Sheet1!G107</f>
        <v>0</v>
      </c>
      <c r="G107" s="4" t="str">
        <f>Sheet1!J107</f>
        <v>Lethenty EstateAmbagamuwaNuwara Eliya</v>
      </c>
      <c r="H107" s="5" t="str">
        <f t="shared" si="0"/>
        <v xml:space="preserve"> View Map </v>
      </c>
    </row>
    <row r="108" spans="2:8" x14ac:dyDescent="0.2">
      <c r="B108" s="4" t="str">
        <f>PROPER(Sheet1!$B108&amp;" "&amp;"Tea Factory")</f>
        <v>Kadienlena Tea Factory</v>
      </c>
      <c r="F108" s="4" t="str">
        <f>Sheet1!G108</f>
        <v>NULL</v>
      </c>
      <c r="G108" s="4">
        <f>Sheet1!J108</f>
        <v>0</v>
      </c>
      <c r="H108" s="5" t="str">
        <f t="shared" si="0"/>
        <v xml:space="preserve"> View Map </v>
      </c>
    </row>
    <row r="109" spans="2:8" x14ac:dyDescent="0.2">
      <c r="B109" s="4" t="str">
        <f>PROPER(Sheet1!$B109&amp;" "&amp;"Tea Factory")</f>
        <v>Loinorn Tea Factory</v>
      </c>
      <c r="F109" s="4" t="str">
        <f>Sheet1!G109</f>
        <v>Bogawathalawa</v>
      </c>
      <c r="G109" s="4" t="str">
        <f>Sheet1!J109</f>
        <v>Lionorn EstateBogawanthalawa</v>
      </c>
      <c r="H109" s="5" t="str">
        <f t="shared" si="0"/>
        <v xml:space="preserve"> View Map </v>
      </c>
    </row>
    <row r="110" spans="2:8" x14ac:dyDescent="0.2">
      <c r="B110" s="4" t="str">
        <f>PROPER(Sheet1!$B110&amp;" "&amp;"Tea Factory")</f>
        <v>Haughton  Tea Factory</v>
      </c>
      <c r="F110" s="4">
        <f>Sheet1!G110</f>
        <v>0</v>
      </c>
      <c r="G110" s="4" t="str">
        <f>Sheet1!J110</f>
        <v>Haughton EstateKalawana</v>
      </c>
      <c r="H110" s="5" t="str">
        <f t="shared" si="0"/>
        <v xml:space="preserve"> View Map </v>
      </c>
    </row>
    <row r="111" spans="2:8" x14ac:dyDescent="0.2">
      <c r="B111" s="4" t="str">
        <f>PROPER(Sheet1!$B111&amp;" "&amp;"Tea Factory")</f>
        <v>Kahagalla  Tea Factory</v>
      </c>
      <c r="F111" s="4">
        <f>Sheet1!G111</f>
        <v>0</v>
      </c>
      <c r="G111" s="4" t="str">
        <f>Sheet1!J111</f>
        <v>Kahagalla Estate Haputale</v>
      </c>
      <c r="H111" s="5" t="str">
        <f t="shared" si="0"/>
        <v xml:space="preserve"> View Map </v>
      </c>
    </row>
    <row r="112" spans="2:8" x14ac:dyDescent="0.2">
      <c r="B112" s="4" t="str">
        <f>PROPER(Sheet1!$B112&amp;" "&amp;"Tea Factory")</f>
        <v>Ambatenne  Tea Factory</v>
      </c>
      <c r="F112" s="4">
        <f>Sheet1!G112</f>
        <v>0</v>
      </c>
      <c r="G112" s="4" t="str">
        <f>Sheet1!J112</f>
        <v>Ambatenne Estate,Bandarawela.</v>
      </c>
      <c r="H112" s="5" t="str">
        <f t="shared" si="0"/>
        <v xml:space="preserve"> View Map </v>
      </c>
    </row>
    <row r="113" spans="2:8" x14ac:dyDescent="0.2">
      <c r="B113" s="4" t="str">
        <f>PROPER(Sheet1!$B113&amp;" "&amp;"Tea Factory")</f>
        <v>Meedumpitiya Tea Factory</v>
      </c>
      <c r="F113" s="4">
        <f>Sheet1!G113</f>
        <v>0</v>
      </c>
      <c r="G113" s="4" t="str">
        <f>Sheet1!J113</f>
        <v>MeedumpitiyaPassara</v>
      </c>
      <c r="H113" s="5" t="str">
        <f t="shared" si="0"/>
        <v xml:space="preserve"> View Map </v>
      </c>
    </row>
    <row r="114" spans="2:8" x14ac:dyDescent="0.2">
      <c r="B114" s="4" t="str">
        <f>PROPER(Sheet1!$B114&amp;" "&amp;"Tea Factory")</f>
        <v>Rasa Tea Factory</v>
      </c>
      <c r="F114" s="4">
        <f>Sheet1!G114</f>
        <v>0</v>
      </c>
      <c r="G114" s="4" t="str">
        <f>Sheet1!J114</f>
        <v>PattigalaBeralapanathara</v>
      </c>
      <c r="H114" s="5" t="str">
        <f t="shared" si="0"/>
        <v xml:space="preserve"> View Map </v>
      </c>
    </row>
    <row r="115" spans="2:8" x14ac:dyDescent="0.2">
      <c r="B115" s="4" t="str">
        <f>PROPER(Sheet1!$B115&amp;" "&amp;"Tea Factory")</f>
        <v>El Teb  Tea Factory</v>
      </c>
      <c r="F115" s="4">
        <f>Sheet1!G115</f>
        <v>0</v>
      </c>
      <c r="G115" s="4" t="str">
        <f>Sheet1!J115</f>
        <v>El Teb Passara</v>
      </c>
      <c r="H115" s="5" t="str">
        <f t="shared" si="0"/>
        <v xml:space="preserve"> View Map </v>
      </c>
    </row>
    <row r="116" spans="2:8" x14ac:dyDescent="0.2">
      <c r="B116" s="4" t="str">
        <f>PROPER(Sheet1!$B116&amp;" "&amp;"Tea Factory")</f>
        <v>Dunsinane Tea Factory</v>
      </c>
      <c r="F116" s="4" t="str">
        <f>Sheet1!G116</f>
        <v>Ulapane V C</v>
      </c>
      <c r="G116" s="4" t="str">
        <f>Sheet1!J116</f>
        <v>Dunsinane EstatePundalu Oya</v>
      </c>
      <c r="H116" s="5" t="str">
        <f t="shared" si="0"/>
        <v xml:space="preserve"> View Map </v>
      </c>
    </row>
    <row r="117" spans="2:8" x14ac:dyDescent="0.2">
      <c r="B117" s="4" t="str">
        <f>PROPER(Sheet1!$B117&amp;" "&amp;"Tea Factory")</f>
        <v>Talawakelle Tea Factory</v>
      </c>
      <c r="F117" s="4">
        <f>Sheet1!G117</f>
        <v>0</v>
      </c>
      <c r="G117" s="4" t="str">
        <f>Sheet1!J117</f>
        <v>Talawakelle EstateTalawakelle</v>
      </c>
      <c r="H117" s="5" t="str">
        <f t="shared" si="0"/>
        <v xml:space="preserve"> View Map </v>
      </c>
    </row>
    <row r="118" spans="2:8" x14ac:dyDescent="0.2">
      <c r="B118" s="4" t="str">
        <f>PROPER(Sheet1!$B118&amp;" "&amp;"Tea Factory")</f>
        <v>Glassaugh Tea Factory</v>
      </c>
      <c r="F118" s="4">
        <f>Sheet1!G118</f>
        <v>0</v>
      </c>
      <c r="G118" s="4" t="str">
        <f>Sheet1!J118</f>
        <v>NanuoyaNuwara Eliya</v>
      </c>
      <c r="H118" s="5" t="str">
        <f t="shared" si="0"/>
        <v xml:space="preserve"> View Map </v>
      </c>
    </row>
    <row r="119" spans="2:8" x14ac:dyDescent="0.2">
      <c r="B119" s="4" t="str">
        <f>PROPER(Sheet1!$B119&amp;" "&amp;"Tea Factory")</f>
        <v>Rahathungoda Tea Factory</v>
      </c>
      <c r="F119" s="4" t="str">
        <f>Sheet1!G119</f>
        <v>Rahathungoda</v>
      </c>
      <c r="G119" s="4" t="str">
        <f>Sheet1!J119</f>
        <v>Rahatungoda EstateHewaheta</v>
      </c>
      <c r="H119" s="5" t="str">
        <f t="shared" si="0"/>
        <v xml:space="preserve"> View Map </v>
      </c>
    </row>
    <row r="120" spans="2:8" x14ac:dyDescent="0.2">
      <c r="B120" s="4" t="str">
        <f>PROPER(Sheet1!$B120&amp;" "&amp;"Tea Factory")</f>
        <v>Harrow Tea Factory</v>
      </c>
      <c r="F120" s="4">
        <f>Sheet1!G120</f>
        <v>0</v>
      </c>
      <c r="G120" s="4" t="str">
        <f>Sheet1!J120</f>
        <v>Harrow EstatePundalu Oya</v>
      </c>
      <c r="H120" s="5" t="str">
        <f t="shared" si="0"/>
        <v xml:space="preserve"> View Map </v>
      </c>
    </row>
    <row r="121" spans="2:8" x14ac:dyDescent="0.2">
      <c r="B121" s="4" t="str">
        <f>PROPER(Sheet1!$B121&amp;" "&amp;"Tea Factory")</f>
        <v>Gonakelle  Tea Factory</v>
      </c>
      <c r="F121" s="4">
        <f>Sheet1!G121</f>
        <v>0</v>
      </c>
      <c r="G121" s="4" t="str">
        <f>Sheet1!J121</f>
        <v>Gonakelle Estate Passara.</v>
      </c>
      <c r="H121" s="5" t="str">
        <f t="shared" si="0"/>
        <v xml:space="preserve"> View Map </v>
      </c>
    </row>
    <row r="122" spans="2:8" x14ac:dyDescent="0.2">
      <c r="B122" s="4" t="str">
        <f>PROPER(Sheet1!$B122&amp;" "&amp;"Tea Factory")</f>
        <v>Nayabedde Tea Factory</v>
      </c>
      <c r="F122" s="4" t="str">
        <f>Sheet1!G122</f>
        <v>Nayabedda</v>
      </c>
      <c r="G122" s="4" t="str">
        <f>Sheet1!J122</f>
        <v>Nyabedde EstateNayabeddaBandarawela</v>
      </c>
      <c r="H122" s="5" t="str">
        <f t="shared" si="0"/>
        <v xml:space="preserve"> View Map </v>
      </c>
    </row>
    <row r="123" spans="2:8" x14ac:dyDescent="0.2">
      <c r="B123" s="4" t="str">
        <f>PROPER(Sheet1!$B123&amp;" "&amp;"Tea Factory")</f>
        <v>Pambagama  Tea Factory</v>
      </c>
      <c r="F123" s="4">
        <f>Sheet1!G123</f>
        <v>0</v>
      </c>
      <c r="G123" s="4" t="str">
        <f>Sheet1!J123</f>
        <v>Pambegama Estate,Parakaduwa.</v>
      </c>
      <c r="H123" s="5" t="str">
        <f t="shared" si="0"/>
        <v xml:space="preserve"> View Map </v>
      </c>
    </row>
    <row r="124" spans="2:8" x14ac:dyDescent="0.2">
      <c r="B124" s="4" t="str">
        <f>PROPER(Sheet1!$B124&amp;" "&amp;"Tea Factory")</f>
        <v>Warriagalla Tea Factory</v>
      </c>
      <c r="F124" s="4">
        <f>Sheet1!G124</f>
        <v>0</v>
      </c>
      <c r="G124" s="4">
        <f>Sheet1!J124</f>
        <v>0</v>
      </c>
      <c r="H124" s="5" t="str">
        <f t="shared" si="0"/>
        <v xml:space="preserve"> View Map </v>
      </c>
    </row>
    <row r="125" spans="2:8" x14ac:dyDescent="0.2">
      <c r="B125" s="4" t="str">
        <f>PROPER(Sheet1!$B125&amp;" "&amp;"Tea Factory")</f>
        <v>Belmont Tea Factory</v>
      </c>
      <c r="F125" s="4">
        <f>Sheet1!G125</f>
        <v>0</v>
      </c>
      <c r="G125" s="4" t="str">
        <f>Sheet1!J125</f>
        <v>AkuressaMatara</v>
      </c>
      <c r="H125" s="5" t="str">
        <f t="shared" si="0"/>
        <v xml:space="preserve"> View Map </v>
      </c>
    </row>
    <row r="126" spans="2:8" x14ac:dyDescent="0.2">
      <c r="B126" s="4" t="str">
        <f>PROPER(Sheet1!$B126&amp;" "&amp;"Tea Factory")</f>
        <v>Clarendon  Tea Factory</v>
      </c>
      <c r="F126" s="4" t="str">
        <f>Sheet1!G126</f>
        <v>Nanu Oya</v>
      </c>
      <c r="G126" s="4" t="str">
        <f>Sheet1!J126</f>
        <v>Clarendon EstateNanu Oya</v>
      </c>
      <c r="H126" s="5" t="str">
        <f t="shared" si="0"/>
        <v xml:space="preserve"> View Map </v>
      </c>
    </row>
    <row r="127" spans="2:8" x14ac:dyDescent="0.2">
      <c r="B127" s="4" t="str">
        <f>PROPER(Sheet1!$B127&amp;" "&amp;"Tea Factory")</f>
        <v>Kinellan  Tea Factory</v>
      </c>
      <c r="F127" s="4" t="str">
        <f>Sheet1!G127</f>
        <v>Kumbalwela</v>
      </c>
      <c r="G127" s="4" t="str">
        <f>Sheet1!J127</f>
        <v>Kinellan Tea EstateElla.</v>
      </c>
      <c r="H127" s="5" t="str">
        <f t="shared" si="0"/>
        <v xml:space="preserve"> View Map </v>
      </c>
    </row>
    <row r="128" spans="2:8" x14ac:dyDescent="0.2">
      <c r="B128" s="4" t="str">
        <f>PROPER(Sheet1!$B128&amp;" "&amp;"Tea Factory")</f>
        <v>Allakolla Tea Factory</v>
      </c>
      <c r="F128" s="4" t="str">
        <f>Sheet1!G128</f>
        <v>Kosgama</v>
      </c>
      <c r="G128" s="4" t="str">
        <f>Sheet1!J128</f>
        <v>Allakolla S PMadukelle</v>
      </c>
      <c r="H128" s="5" t="str">
        <f t="shared" si="0"/>
        <v xml:space="preserve"> View Map </v>
      </c>
    </row>
    <row r="129" spans="2:8" x14ac:dyDescent="0.2">
      <c r="B129" s="4" t="str">
        <f>PROPER(Sheet1!$B129&amp;" "&amp;"Tea Factory")</f>
        <v>Udaveria  Tea Factory</v>
      </c>
      <c r="F129" s="4" t="str">
        <f>Sheet1!G129</f>
        <v>Ohiya</v>
      </c>
      <c r="G129" s="4" t="str">
        <f>Sheet1!J129</f>
        <v>Udaveria EstateOhiya</v>
      </c>
      <c r="H129" s="5" t="str">
        <f t="shared" si="0"/>
        <v xml:space="preserve"> View Map </v>
      </c>
    </row>
    <row r="130" spans="2:8" x14ac:dyDescent="0.2">
      <c r="B130" s="4" t="str">
        <f>PROPER(Sheet1!$B130&amp;" "&amp;"Tea Factory")</f>
        <v>Downside Tea Factory</v>
      </c>
      <c r="F130" s="4">
        <f>Sheet1!G130</f>
        <v>0</v>
      </c>
      <c r="G130" s="4" t="str">
        <f>Sheet1!J130</f>
        <v>Downside Welimada</v>
      </c>
      <c r="H130" s="5" t="str">
        <f t="shared" si="0"/>
        <v xml:space="preserve"> View Map </v>
      </c>
    </row>
    <row r="131" spans="2:8" x14ac:dyDescent="0.2">
      <c r="B131" s="4" t="str">
        <f>PROPER(Sheet1!$B131&amp;" "&amp;"Tea Factory")</f>
        <v>Glenloch Tea Factory</v>
      </c>
      <c r="F131" s="4" t="str">
        <f>Sheet1!G131</f>
        <v>Katukithula</v>
      </c>
      <c r="G131" s="4" t="str">
        <f>Sheet1!J131</f>
        <v>Nuwara Eliya Road, Katukithula.</v>
      </c>
      <c r="H131" s="5" t="str">
        <f t="shared" si="0"/>
        <v xml:space="preserve"> View Map </v>
      </c>
    </row>
    <row r="132" spans="2:8" x14ac:dyDescent="0.2">
      <c r="B132" s="4" t="str">
        <f>PROPER(Sheet1!$B132&amp;" "&amp;"Tea Factory")</f>
        <v>Wewesse Tea Factory</v>
      </c>
      <c r="F132" s="4">
        <f>Sheet1!G132</f>
        <v>0</v>
      </c>
      <c r="G132" s="4" t="str">
        <f>Sheet1!J132</f>
        <v>Wewessa EstateBadulla</v>
      </c>
      <c r="H132" s="5" t="str">
        <f t="shared" si="0"/>
        <v xml:space="preserve"> View Map </v>
      </c>
    </row>
    <row r="133" spans="2:8" x14ac:dyDescent="0.2">
      <c r="B133" s="4" t="str">
        <f>PROPER(Sheet1!$B133&amp;" "&amp;"Tea Factory")</f>
        <v>New Kellie Group  Tea Factory</v>
      </c>
      <c r="F133" s="4" t="str">
        <f>Sheet1!G133</f>
        <v>Kellie Kalani</v>
      </c>
      <c r="G133" s="4" t="str">
        <f>Sheet1!J133</f>
        <v>Dolosbage,Nawalapitiya.</v>
      </c>
      <c r="H133" s="5" t="str">
        <f t="shared" si="0"/>
        <v xml:space="preserve"> View Map </v>
      </c>
    </row>
    <row r="134" spans="2:8" x14ac:dyDescent="0.2">
      <c r="B134" s="4" t="str">
        <f>PROPER(Sheet1!$B134&amp;" "&amp;"Tea Factory")</f>
        <v>Ellawala  Tea Factory</v>
      </c>
      <c r="F134" s="4" t="str">
        <f>Sheet1!G134</f>
        <v>Dehiwinna</v>
      </c>
      <c r="G134" s="4" t="str">
        <f>Sheet1!J134</f>
        <v>Ellawala EstateBandarawela</v>
      </c>
      <c r="H134" s="5" t="str">
        <f t="shared" si="0"/>
        <v xml:space="preserve"> View Map </v>
      </c>
    </row>
    <row r="135" spans="2:8" x14ac:dyDescent="0.2">
      <c r="B135" s="4" t="str">
        <f>PROPER(Sheet1!$B135&amp;" "&amp;"Tea Factory")</f>
        <v>Balangoda Tea Shakthi Tea Factory</v>
      </c>
      <c r="F135" s="4">
        <f>Sheet1!G135</f>
        <v>0</v>
      </c>
      <c r="G135" s="4" t="str">
        <f>Sheet1!J135</f>
        <v>OlugantotaBalangoda</v>
      </c>
      <c r="H135" s="5" t="str">
        <f t="shared" si="0"/>
        <v xml:space="preserve"> View Map </v>
      </c>
    </row>
    <row r="136" spans="2:8" x14ac:dyDescent="0.2">
      <c r="B136" s="4" t="str">
        <f>PROPER(Sheet1!$B136&amp;" "&amp;"Tea Factory")</f>
        <v>Kudamalana Tea Factory</v>
      </c>
      <c r="F136" s="4">
        <f>Sheet1!G136</f>
        <v>0</v>
      </c>
      <c r="G136" s="4" t="str">
        <f>Sheet1!J136</f>
        <v>Kudamalana Watta,Talgaswela.</v>
      </c>
      <c r="H136" s="5" t="str">
        <f t="shared" si="0"/>
        <v xml:space="preserve"> View Map </v>
      </c>
    </row>
    <row r="137" spans="2:8" x14ac:dyDescent="0.2">
      <c r="B137" s="4" t="str">
        <f>PROPER(Sheet1!$B137&amp;" "&amp;"Tea Factory")</f>
        <v>Upper Balangoda Tea Factory</v>
      </c>
      <c r="F137" s="4" t="str">
        <f>Sheet1!G137</f>
        <v>Yakdehikanda</v>
      </c>
      <c r="G137" s="4" t="str">
        <f>Sheet1!J137</f>
        <v>Upper Balangoda EstateBalangoda</v>
      </c>
      <c r="H137" s="5" t="str">
        <f t="shared" si="0"/>
        <v xml:space="preserve"> View Map </v>
      </c>
    </row>
    <row r="138" spans="2:8" x14ac:dyDescent="0.2">
      <c r="B138" s="4" t="str">
        <f>PROPER(Sheet1!$B138&amp;" "&amp;"Tea Factory")</f>
        <v>Wewawatte Tea Factory</v>
      </c>
      <c r="F138" s="4">
        <f>Sheet1!G138</f>
        <v>0</v>
      </c>
      <c r="G138" s="4" t="str">
        <f>Sheet1!J138</f>
        <v>Wewatta EstateRassagala RoadBalangoda</v>
      </c>
      <c r="H138" s="5" t="str">
        <f t="shared" si="0"/>
        <v xml:space="preserve"> View Map </v>
      </c>
    </row>
    <row r="139" spans="2:8" x14ac:dyDescent="0.2">
      <c r="B139" s="4" t="str">
        <f>PROPER(Sheet1!$B139&amp;" "&amp;"Tea Factory")</f>
        <v>New Mount Carmel Tea Factory</v>
      </c>
      <c r="F139" s="4" t="str">
        <f>Sheet1!G139</f>
        <v>Ambalakanda</v>
      </c>
      <c r="G139" s="4" t="str">
        <f>Sheet1!J139</f>
        <v>Mount Carmel Estate,AmbalakandaAranayaka</v>
      </c>
      <c r="H139" s="5" t="str">
        <f t="shared" si="0"/>
        <v xml:space="preserve"> View Map </v>
      </c>
    </row>
    <row r="140" spans="2:8" x14ac:dyDescent="0.2">
      <c r="B140" s="4" t="str">
        <f>PROPER(Sheet1!$B140&amp;" "&amp;"Tea Factory")</f>
        <v>Rhineland Tea Factory</v>
      </c>
      <c r="F140" s="4" t="str">
        <f>Sheet1!G140</f>
        <v>Pussellawa Gama</v>
      </c>
      <c r="G140" s="4" t="str">
        <f>Sheet1!J140</f>
        <v>Nuwareliya Road,Pussellawa.</v>
      </c>
      <c r="H140" s="5" t="str">
        <f t="shared" si="0"/>
        <v xml:space="preserve"> View Map </v>
      </c>
    </row>
    <row r="141" spans="2:8" x14ac:dyDescent="0.2">
      <c r="B141" s="4" t="str">
        <f>PROPER(Sheet1!$B141&amp;" "&amp;"Tea Factory")</f>
        <v>Dambatenne  Tea Factory</v>
      </c>
      <c r="F141" s="4">
        <f>Sheet1!G141</f>
        <v>0</v>
      </c>
      <c r="G141" s="4" t="str">
        <f>Sheet1!J141</f>
        <v>Dambatenne</v>
      </c>
      <c r="H141" s="5" t="str">
        <f t="shared" si="0"/>
        <v xml:space="preserve"> View Map </v>
      </c>
    </row>
    <row r="142" spans="2:8" x14ac:dyDescent="0.2">
      <c r="B142" s="4" t="str">
        <f>PROPER(Sheet1!$B142&amp;" "&amp;"Tea Factory")</f>
        <v>Pupuressa Tea Factory</v>
      </c>
      <c r="F142" s="4">
        <f>Sheet1!G142</f>
        <v>0</v>
      </c>
      <c r="G142" s="4" t="str">
        <f>Sheet1!J142</f>
        <v>Pupuressa.</v>
      </c>
      <c r="H142" s="5" t="str">
        <f t="shared" si="0"/>
        <v xml:space="preserve"> View Map </v>
      </c>
    </row>
    <row r="143" spans="2:8" x14ac:dyDescent="0.2">
      <c r="B143" s="4" t="str">
        <f>PROPER(Sheet1!$B143&amp;" "&amp;"Tea Factory")</f>
        <v>Ambragalla Tea Factory</v>
      </c>
      <c r="F143" s="4">
        <f>Sheet1!G143</f>
        <v>0</v>
      </c>
      <c r="G143" s="4">
        <f>Sheet1!J143</f>
        <v>0</v>
      </c>
      <c r="H143" s="5" t="str">
        <f t="shared" si="0"/>
        <v xml:space="preserve"> View Map </v>
      </c>
    </row>
    <row r="144" spans="2:8" x14ac:dyDescent="0.2">
      <c r="B144" s="4" t="str">
        <f>PROPER(Sheet1!$B144&amp;" "&amp;"Tea Factory")</f>
        <v>Panilkanda  Tea Factory</v>
      </c>
      <c r="F144" s="4" t="str">
        <f>Sheet1!G144</f>
        <v>Ulliduwawa</v>
      </c>
      <c r="G144" s="4" t="str">
        <f>Sheet1!J144</f>
        <v>UllinduwawaPanil Kanda,Deniyaya</v>
      </c>
      <c r="H144" s="5" t="str">
        <f t="shared" si="0"/>
        <v xml:space="preserve"> View Map </v>
      </c>
    </row>
    <row r="145" spans="2:8" x14ac:dyDescent="0.2">
      <c r="B145" s="4" t="str">
        <f>PROPER(Sheet1!$B145&amp;" "&amp;"Tea Factory")</f>
        <v>Blinkbonnie Tea Factory</v>
      </c>
      <c r="F145" s="4">
        <f>Sheet1!G145</f>
        <v>0</v>
      </c>
      <c r="G145" s="4" t="str">
        <f>Sheet1!J145</f>
        <v>Blinkbonnie EstateDick Oya</v>
      </c>
      <c r="H145" s="5" t="str">
        <f t="shared" si="0"/>
        <v xml:space="preserve"> View Map </v>
      </c>
    </row>
    <row r="146" spans="2:8" x14ac:dyDescent="0.2">
      <c r="B146" s="4" t="str">
        <f>PROPER(Sheet1!$B146&amp;" "&amp;"Tea Factory")</f>
        <v>Henford  Tea Factory</v>
      </c>
      <c r="F146" s="4">
        <f>Sheet1!G146</f>
        <v>0</v>
      </c>
      <c r="G146" s="4" t="str">
        <f>Sheet1!J146</f>
        <v>Henfold EstateLindulaTalawakelle</v>
      </c>
      <c r="H146" s="5" t="str">
        <f t="shared" si="0"/>
        <v xml:space="preserve"> View Map </v>
      </c>
    </row>
    <row r="147" spans="2:8" x14ac:dyDescent="0.2">
      <c r="B147" s="4" t="str">
        <f>PROPER(Sheet1!$B147&amp;" "&amp;"Tea Factory")</f>
        <v>Balagala Ella  Tea Factory</v>
      </c>
      <c r="F147" s="4" t="str">
        <f>Sheet1!G147</f>
        <v>Liyangahawela</v>
      </c>
      <c r="G147" s="4" t="str">
        <f>Sheet1!J147</f>
        <v>Liyangahawela,Poonagala Road,Bandarawela</v>
      </c>
      <c r="H147" s="5" t="str">
        <f t="shared" si="0"/>
        <v xml:space="preserve"> View Map </v>
      </c>
    </row>
    <row r="148" spans="2:8" x14ac:dyDescent="0.2">
      <c r="B148" s="4" t="str">
        <f>PROPER(Sheet1!$B148&amp;" "&amp;"Tea Factory")</f>
        <v>Ottery Tea Factory</v>
      </c>
      <c r="F148" s="4">
        <f>Sheet1!G148</f>
        <v>0</v>
      </c>
      <c r="G148" s="4" t="str">
        <f>Sheet1!J148</f>
        <v>Invery Estate,Dickoya.</v>
      </c>
      <c r="H148" s="5" t="str">
        <f t="shared" si="0"/>
        <v xml:space="preserve"> View Map </v>
      </c>
    </row>
    <row r="149" spans="2:8" x14ac:dyDescent="0.2">
      <c r="B149" s="4" t="str">
        <f>PROPER(Sheet1!$B149&amp;" "&amp;"Tea Factory")</f>
        <v>Opalgalla Tea Factory</v>
      </c>
      <c r="F149" s="4">
        <f>Sheet1!G149</f>
        <v>0</v>
      </c>
      <c r="G149" s="4">
        <f>Sheet1!J149</f>
        <v>0</v>
      </c>
      <c r="H149" s="5" t="str">
        <f t="shared" si="0"/>
        <v xml:space="preserve"> View Map </v>
      </c>
    </row>
    <row r="150" spans="2:8" x14ac:dyDescent="0.2">
      <c r="B150" s="4" t="str">
        <f>PROPER(Sheet1!$B150&amp;" "&amp;"Tea Factory")</f>
        <v>Hunuwella  Tea Factory</v>
      </c>
      <c r="F150" s="4">
        <f>Sheet1!G150</f>
        <v>0</v>
      </c>
      <c r="G150" s="4" t="str">
        <f>Sheet1!J150</f>
        <v>Hunuwella EstateOpanayake.</v>
      </c>
      <c r="H150" s="5" t="str">
        <f t="shared" si="0"/>
        <v xml:space="preserve"> View Map </v>
      </c>
    </row>
    <row r="151" spans="2:8" x14ac:dyDescent="0.2">
      <c r="B151" s="4" t="str">
        <f>PROPER(Sheet1!$B151&amp;" "&amp;"Tea Factory")</f>
        <v>Kallebokka  Tea Factory</v>
      </c>
      <c r="F151" s="4">
        <f>Sheet1!G151</f>
        <v>0</v>
      </c>
      <c r="G151" s="4" t="str">
        <f>Sheet1!J151</f>
        <v>KellebokkaMadulkelle</v>
      </c>
      <c r="H151" s="5" t="str">
        <f t="shared" si="0"/>
        <v xml:space="preserve"> View Map </v>
      </c>
    </row>
    <row r="152" spans="2:8" x14ac:dyDescent="0.2">
      <c r="B152" s="4" t="str">
        <f>PROPER(Sheet1!$B152&amp;" "&amp;"Tea Factory")</f>
        <v>Tientsin Tea Factory</v>
      </c>
      <c r="F152" s="4" t="str">
        <f>Sheet1!G152</f>
        <v>Bogawanthalawa</v>
      </c>
      <c r="G152" s="4" t="str">
        <f>Sheet1!J152</f>
        <v>Bogawantalawa EstateBogawanthalawa</v>
      </c>
      <c r="H152" s="5" t="str">
        <f t="shared" si="0"/>
        <v xml:space="preserve"> View Map </v>
      </c>
    </row>
    <row r="153" spans="2:8" x14ac:dyDescent="0.2">
      <c r="B153" s="4" t="str">
        <f>PROPER(Sheet1!$B153&amp;" "&amp;"Tea Factory")</f>
        <v>Watapota  Tea Factory</v>
      </c>
      <c r="F153" s="4">
        <f>Sheet1!G153</f>
        <v>0</v>
      </c>
      <c r="G153" s="4" t="str">
        <f>Sheet1!J153</f>
        <v>Watapotha EstateNivithigala</v>
      </c>
      <c r="H153" s="5" t="str">
        <f t="shared" si="0"/>
        <v xml:space="preserve"> View Map </v>
      </c>
    </row>
    <row r="154" spans="2:8" x14ac:dyDescent="0.2">
      <c r="B154" s="4" t="str">
        <f>PROPER(Sheet1!$B154&amp;" "&amp;"Tea Factory")</f>
        <v>Bopitiya Tea Factory</v>
      </c>
      <c r="F154" s="4">
        <f>Sheet1!G154</f>
        <v>0</v>
      </c>
      <c r="G154" s="4" t="str">
        <f>Sheet1!J154</f>
        <v>Bopitiya Estate,Deltota.</v>
      </c>
      <c r="H154" s="5" t="str">
        <f t="shared" si="0"/>
        <v xml:space="preserve"> View Map </v>
      </c>
    </row>
    <row r="155" spans="2:8" x14ac:dyDescent="0.2">
      <c r="B155" s="4" t="str">
        <f>PROPER(Sheet1!$B155&amp;" "&amp;"Tea Factory")</f>
        <v>Poonagalla  Tea Factory</v>
      </c>
      <c r="F155" s="4">
        <f>Sheet1!G155</f>
        <v>0</v>
      </c>
      <c r="G155" s="4" t="str">
        <f>Sheet1!J155</f>
        <v>Poonagalla  Spo</v>
      </c>
      <c r="H155" s="5" t="str">
        <f t="shared" si="0"/>
        <v xml:space="preserve"> View Map </v>
      </c>
    </row>
    <row r="156" spans="2:8" x14ac:dyDescent="0.2">
      <c r="B156" s="4" t="str">
        <f>PROPER(Sheet1!$B156&amp;" "&amp;"Tea Factory")</f>
        <v>Kelani  Tea Factory</v>
      </c>
      <c r="F156" s="4">
        <f>Sheet1!G156</f>
        <v>0</v>
      </c>
      <c r="G156" s="4" t="str">
        <f>Sheet1!J156</f>
        <v>Kelani Estate,Parussella,Yatiyantota.</v>
      </c>
      <c r="H156" s="5" t="str">
        <f t="shared" si="0"/>
        <v xml:space="preserve"> View Map </v>
      </c>
    </row>
    <row r="157" spans="2:8" x14ac:dyDescent="0.2">
      <c r="B157" s="4" t="str">
        <f>PROPER(Sheet1!$B157&amp;" "&amp;"Tea Factory")</f>
        <v>Robgill Group Tea Factory</v>
      </c>
      <c r="F157" s="4">
        <f>Sheet1!G157</f>
        <v>0</v>
      </c>
      <c r="G157" s="4" t="str">
        <f>Sheet1!J157</f>
        <v>Robgill EstateBogawanthalawa</v>
      </c>
      <c r="H157" s="5" t="str">
        <f t="shared" si="0"/>
        <v xml:space="preserve"> View Map </v>
      </c>
    </row>
    <row r="158" spans="2:8" x14ac:dyDescent="0.2">
      <c r="B158" s="4" t="str">
        <f>PROPER(Sheet1!$B158&amp;" "&amp;"Tea Factory")</f>
        <v>Kuttapitiya  Tea Factory</v>
      </c>
      <c r="F158" s="4">
        <f>Sheet1!G158</f>
        <v>0</v>
      </c>
      <c r="G158" s="4" t="str">
        <f>Sheet1!J158</f>
        <v xml:space="preserve"> Kuttapitiya Estate,Pelmadulla.</v>
      </c>
      <c r="H158" s="5" t="str">
        <f t="shared" si="0"/>
        <v xml:space="preserve"> View Map </v>
      </c>
    </row>
    <row r="159" spans="2:8" x14ac:dyDescent="0.2">
      <c r="B159" s="4" t="str">
        <f>PROPER(Sheet1!$B159&amp;" "&amp;"Tea Factory")</f>
        <v>Doloswella Tea Factory</v>
      </c>
      <c r="F159" s="4">
        <f>Sheet1!G159</f>
        <v>0</v>
      </c>
      <c r="G159" s="4" t="str">
        <f>Sheet1!J159</f>
        <v>Doloswella Estate</v>
      </c>
      <c r="H159" s="5" t="str">
        <f t="shared" si="0"/>
        <v xml:space="preserve"> View Map </v>
      </c>
    </row>
    <row r="160" spans="2:8" x14ac:dyDescent="0.2">
      <c r="B160" s="4" t="str">
        <f>PROPER(Sheet1!$B160&amp;" "&amp;"Tea Factory")</f>
        <v>Ambanpitiya Tea Factory</v>
      </c>
      <c r="F160" s="4">
        <f>Sheet1!G160</f>
        <v>0</v>
      </c>
      <c r="G160" s="4">
        <f>Sheet1!J160</f>
        <v>0</v>
      </c>
      <c r="H160" s="5" t="str">
        <f t="shared" si="0"/>
        <v xml:space="preserve"> View Map </v>
      </c>
    </row>
    <row r="161" spans="2:8" x14ac:dyDescent="0.2">
      <c r="B161" s="4" t="str">
        <f>PROPER(Sheet1!$B161&amp;" "&amp;"Tea Factory")</f>
        <v>Abbotsleigh Tea Factory</v>
      </c>
      <c r="F161" s="4">
        <f>Sheet1!G161</f>
        <v>0</v>
      </c>
      <c r="G161" s="4" t="str">
        <f>Sheet1!J161</f>
        <v>Abbostleigh EstateHatton</v>
      </c>
      <c r="H161" s="5" t="str">
        <f t="shared" si="0"/>
        <v xml:space="preserve"> View Map </v>
      </c>
    </row>
    <row r="162" spans="2:8" x14ac:dyDescent="0.2">
      <c r="B162" s="4" t="str">
        <f>PROPER(Sheet1!$B162&amp;" "&amp;"Tea Factory")</f>
        <v>Talgaswella Tea Factory</v>
      </c>
      <c r="F162" s="4">
        <f>Sheet1!G162</f>
        <v>0</v>
      </c>
      <c r="G162" s="4" t="str">
        <f>Sheet1!J162</f>
        <v>Talgaswela EstateTalgaswela</v>
      </c>
      <c r="H162" s="5" t="str">
        <f t="shared" si="0"/>
        <v xml:space="preserve"> View Map </v>
      </c>
    </row>
    <row r="163" spans="2:8" x14ac:dyDescent="0.2">
      <c r="B163" s="4" t="str">
        <f>PROPER(Sheet1!$B163&amp;" "&amp;"Tea Factory")</f>
        <v>Fetteresso Tea Factory</v>
      </c>
      <c r="F163" s="4">
        <f>Sheet1!G163</f>
        <v>0</v>
      </c>
      <c r="G163" s="4" t="str">
        <f>Sheet1!J163</f>
        <v>Fetteresso Estate</v>
      </c>
      <c r="H163" s="5" t="str">
        <f t="shared" si="0"/>
        <v xml:space="preserve"> View Map </v>
      </c>
    </row>
    <row r="164" spans="2:8" x14ac:dyDescent="0.2">
      <c r="B164" s="4" t="str">
        <f>PROPER(Sheet1!$B164&amp;" "&amp;"Tea Factory")</f>
        <v>Magalla Group Tea Factory</v>
      </c>
      <c r="F164" s="4">
        <f>Sheet1!G164</f>
        <v>0</v>
      </c>
      <c r="G164" s="4">
        <f>Sheet1!J164</f>
        <v>0</v>
      </c>
      <c r="H164" s="5" t="str">
        <f t="shared" si="0"/>
        <v xml:space="preserve"> View Map </v>
      </c>
    </row>
    <row r="165" spans="2:8" x14ac:dyDescent="0.2">
      <c r="B165" s="4" t="str">
        <f>PROPER(Sheet1!$B165&amp;" "&amp;"Tea Factory")</f>
        <v>Hallala Group Tea Factory</v>
      </c>
      <c r="F165" s="4">
        <f>Sheet1!G165</f>
        <v>0</v>
      </c>
      <c r="G165" s="4" t="str">
        <f>Sheet1!J165</f>
        <v>Hallala Estate, Weligama</v>
      </c>
      <c r="H165" s="5" t="str">
        <f t="shared" si="0"/>
        <v xml:space="preserve"> View Map </v>
      </c>
    </row>
    <row r="166" spans="2:8" x14ac:dyDescent="0.2">
      <c r="B166" s="4" t="str">
        <f>PROPER(Sheet1!$B166&amp;" "&amp;"Tea Factory")</f>
        <v>Karandupona Tea Factory</v>
      </c>
      <c r="F166" s="4">
        <f>Sheet1!G166</f>
        <v>0</v>
      </c>
      <c r="G166" s="4">
        <f>Sheet1!J166</f>
        <v>0</v>
      </c>
      <c r="H166" s="5" t="str">
        <f t="shared" si="0"/>
        <v xml:space="preserve"> View Map </v>
      </c>
    </row>
    <row r="167" spans="2:8" x14ac:dyDescent="0.2">
      <c r="B167" s="4" t="str">
        <f>PROPER(Sheet1!$B167&amp;" "&amp;"Tea Factory")</f>
        <v>Battalgalla Tea Factory</v>
      </c>
      <c r="F167" s="4">
        <f>Sheet1!G167</f>
        <v>0</v>
      </c>
      <c r="G167" s="4" t="str">
        <f>Sheet1!J167</f>
        <v>Battalgalla EstateDick Oya</v>
      </c>
      <c r="H167" s="5" t="str">
        <f t="shared" si="0"/>
        <v xml:space="preserve"> View Map </v>
      </c>
    </row>
    <row r="168" spans="2:8" x14ac:dyDescent="0.2">
      <c r="B168" s="4" t="str">
        <f>PROPER(Sheet1!$B168&amp;" "&amp;"Tea Factory")</f>
        <v>Pansalthenna Tea Factory</v>
      </c>
      <c r="F168" s="4" t="str">
        <f>Sheet1!G168</f>
        <v>Balakaduwa</v>
      </c>
      <c r="G168" s="4" t="str">
        <f>Sheet1!J168</f>
        <v>balakaduwa,Alawathugoda,Matale.</v>
      </c>
      <c r="H168" s="5" t="str">
        <f t="shared" si="0"/>
        <v xml:space="preserve"> View Map </v>
      </c>
    </row>
    <row r="169" spans="2:8" x14ac:dyDescent="0.2">
      <c r="B169" s="4" t="str">
        <f>PROPER(Sheet1!$B169&amp;" "&amp;"Tea Factory")</f>
        <v>Rosyth Tea Factory</v>
      </c>
      <c r="F169" s="4" t="str">
        <f>Sheet1!G169</f>
        <v>Talagahayaya</v>
      </c>
      <c r="G169" s="4" t="str">
        <f>Sheet1!J169</f>
        <v>Rosyth EstatePussellaKegalle</v>
      </c>
      <c r="H169" s="5" t="str">
        <f t="shared" si="0"/>
        <v xml:space="preserve"> View Map </v>
      </c>
    </row>
    <row r="170" spans="2:8" x14ac:dyDescent="0.2">
      <c r="B170" s="4" t="str">
        <f>PROPER(Sheet1!$B170&amp;" "&amp;"Tea Factory")</f>
        <v>Non Pareil Tea Factory</v>
      </c>
      <c r="F170" s="4">
        <f>Sheet1!G170</f>
        <v>0</v>
      </c>
      <c r="G170" s="4" t="str">
        <f>Sheet1!J170</f>
        <v>Non Pareil EstateBelihuloya</v>
      </c>
      <c r="H170" s="5" t="str">
        <f t="shared" si="0"/>
        <v xml:space="preserve"> View Map </v>
      </c>
    </row>
    <row r="171" spans="2:8" x14ac:dyDescent="0.2">
      <c r="B171" s="4" t="str">
        <f>PROPER(Sheet1!$B171&amp;" "&amp;"Tea Factory")</f>
        <v>Thalangaha Tea Factory</v>
      </c>
      <c r="F171" s="4">
        <f>Sheet1!G171</f>
        <v>0</v>
      </c>
      <c r="G171" s="4" t="str">
        <f>Sheet1!J171</f>
        <v>Bataketiya,Nakiyadeniya.</v>
      </c>
      <c r="H171" s="5" t="str">
        <f t="shared" si="0"/>
        <v xml:space="preserve"> View Map </v>
      </c>
    </row>
    <row r="172" spans="2:8" x14ac:dyDescent="0.2">
      <c r="B172" s="4" t="str">
        <f>PROPER(Sheet1!$B172&amp;" "&amp;"Tea Factory")</f>
        <v>Mount Vernon  Tea Factory</v>
      </c>
      <c r="F172" s="4">
        <f>Sheet1!G172</f>
        <v>0</v>
      </c>
      <c r="G172" s="4" t="str">
        <f>Sheet1!J172</f>
        <v>Mount Vernon EstateKotagala</v>
      </c>
      <c r="H172" s="5" t="str">
        <f t="shared" si="0"/>
        <v xml:space="preserve"> View Map </v>
      </c>
    </row>
    <row r="173" spans="2:8" x14ac:dyDescent="0.2">
      <c r="B173" s="4" t="str">
        <f>PROPER(Sheet1!$B173&amp;" "&amp;"Tea Factory")</f>
        <v>Pingarawa  Tea Factory</v>
      </c>
      <c r="F173" s="4">
        <f>Sheet1!G173</f>
        <v>0</v>
      </c>
      <c r="G173" s="4" t="str">
        <f>Sheet1!J173</f>
        <v>Pingarawa Estate,Namunukula.</v>
      </c>
      <c r="H173" s="5" t="str">
        <f t="shared" si="0"/>
        <v xml:space="preserve"> View Map </v>
      </c>
    </row>
    <row r="174" spans="2:8" x14ac:dyDescent="0.2">
      <c r="B174" s="4" t="str">
        <f>PROPER(Sheet1!$B174&amp;" "&amp;"Tea Factory")</f>
        <v>Uva Moragolla  Tea Factory</v>
      </c>
      <c r="F174" s="4" t="str">
        <f>Sheet1!G174</f>
        <v>Moragolla</v>
      </c>
      <c r="G174" s="4" t="str">
        <f>Sheet1!J174</f>
        <v>Moragolla Road,Welimada.</v>
      </c>
      <c r="H174" s="5" t="str">
        <f t="shared" si="0"/>
        <v xml:space="preserve"> View Map </v>
      </c>
    </row>
    <row r="175" spans="2:8" x14ac:dyDescent="0.2">
      <c r="B175" s="4" t="str">
        <f>PROPER(Sheet1!$B175&amp;" "&amp;"Tea Factory")</f>
        <v>Olympus Tea Factory</v>
      </c>
      <c r="F175" s="4">
        <f>Sheet1!G175</f>
        <v>0</v>
      </c>
      <c r="G175" s="4" t="str">
        <f>Sheet1!J175</f>
        <v>Olympus Tea EstateKeebielaPOddalaGalle</v>
      </c>
      <c r="H175" s="5" t="str">
        <f t="shared" si="0"/>
        <v xml:space="preserve"> View Map </v>
      </c>
    </row>
    <row r="176" spans="2:8" x14ac:dyDescent="0.2">
      <c r="B176" s="4" t="str">
        <f>PROPER(Sheet1!$B176&amp;" "&amp;"Tea Factory")</f>
        <v>Hope Tea Factory</v>
      </c>
      <c r="F176" s="4">
        <f>Sheet1!G176</f>
        <v>0</v>
      </c>
      <c r="G176" s="4" t="str">
        <f>Sheet1!J176</f>
        <v>Hope EstateHewaheta</v>
      </c>
      <c r="H176" s="5" t="str">
        <f t="shared" si="0"/>
        <v xml:space="preserve"> View Map </v>
      </c>
    </row>
    <row r="177" spans="2:8" x14ac:dyDescent="0.2">
      <c r="B177" s="4" t="str">
        <f>PROPER(Sheet1!$B177&amp;" "&amp;"Tea Factory")</f>
        <v>Ingurugala Tea Factory</v>
      </c>
      <c r="F177" s="4" t="str">
        <f>Sheet1!G177</f>
        <v>Berawila</v>
      </c>
      <c r="G177" s="4" t="str">
        <f>Sheet1!J177</f>
        <v>Ingurugala Estate,Dolosbage.</v>
      </c>
      <c r="H177" s="5" t="str">
        <f t="shared" si="0"/>
        <v xml:space="preserve"> View Map </v>
      </c>
    </row>
    <row r="178" spans="2:8" x14ac:dyDescent="0.2">
      <c r="B178" s="4" t="str">
        <f>PROPER(Sheet1!$B178&amp;" "&amp;"Tea Factory")</f>
        <v>Kirimittia Tea Factory</v>
      </c>
      <c r="F178" s="4">
        <f>Sheet1!G178</f>
        <v>0</v>
      </c>
      <c r="G178" s="4">
        <f>Sheet1!J178</f>
        <v>0</v>
      </c>
      <c r="H178" s="5" t="str">
        <f t="shared" si="0"/>
        <v xml:space="preserve"> View Map </v>
      </c>
    </row>
    <row r="179" spans="2:8" x14ac:dyDescent="0.2">
      <c r="B179" s="4" t="str">
        <f>PROPER(Sheet1!$B179&amp;" "&amp;"Tea Factory")</f>
        <v>Labookellie Tea Factory</v>
      </c>
      <c r="F179" s="4" t="str">
        <f>Sheet1!G179</f>
        <v>Kuda Oya</v>
      </c>
      <c r="G179" s="4" t="str">
        <f>Sheet1!J179</f>
        <v>Labukalle EstateLabukele</v>
      </c>
      <c r="H179" s="5" t="str">
        <f t="shared" si="0"/>
        <v xml:space="preserve"> View Map </v>
      </c>
    </row>
    <row r="180" spans="2:8" x14ac:dyDescent="0.2">
      <c r="B180" s="4" t="str">
        <f>PROPER(Sheet1!$B180&amp;" "&amp;"Tea Factory")</f>
        <v>Matale West Tea Factory</v>
      </c>
      <c r="F180" s="4">
        <f>Sheet1!G180</f>
        <v>0</v>
      </c>
      <c r="G180" s="4" t="str">
        <f>Sheet1!J180</f>
        <v>Matale Estate,Matale.</v>
      </c>
      <c r="H180" s="5" t="str">
        <f t="shared" si="0"/>
        <v xml:space="preserve"> View Map </v>
      </c>
    </row>
    <row r="181" spans="2:8" x14ac:dyDescent="0.2">
      <c r="B181" s="4" t="str">
        <f>PROPER(Sheet1!$B181&amp;" "&amp;"Tea Factory")</f>
        <v>Meddecombara North Tea Factory</v>
      </c>
      <c r="F181" s="4" t="str">
        <f>Sheet1!G181</f>
        <v>Dunukeniniya</v>
      </c>
      <c r="G181" s="4" t="str">
        <f>Sheet1!J181</f>
        <v>North MeddekumburaWatagodaKothmale</v>
      </c>
      <c r="H181" s="5" t="str">
        <f t="shared" si="0"/>
        <v xml:space="preserve"> View Map </v>
      </c>
    </row>
    <row r="182" spans="2:8" x14ac:dyDescent="0.2">
      <c r="B182" s="4" t="str">
        <f>PROPER(Sheet1!$B182&amp;" "&amp;"Tea Factory")</f>
        <v>Meddecombra South Tea Factory</v>
      </c>
      <c r="F182" s="4" t="str">
        <f>Sheet1!G182</f>
        <v>Maddakumbura</v>
      </c>
      <c r="G182" s="4" t="str">
        <f>Sheet1!J182</f>
        <v>MeddakumburaDunukedeniyaKotmale</v>
      </c>
      <c r="H182" s="5" t="str">
        <f t="shared" si="0"/>
        <v xml:space="preserve"> View Map </v>
      </c>
    </row>
    <row r="183" spans="2:8" x14ac:dyDescent="0.2">
      <c r="B183" s="4" t="str">
        <f>PROPER(Sheet1!$B183&amp;" "&amp;"Tea Factory")</f>
        <v>Matuwagala Tea Factory</v>
      </c>
      <c r="F183" s="4">
        <f>Sheet1!G183</f>
        <v>0</v>
      </c>
      <c r="G183" s="4" t="str">
        <f>Sheet1!J183</f>
        <v>LellopitiyaRatnapura</v>
      </c>
      <c r="H183" s="5" t="str">
        <f t="shared" si="0"/>
        <v xml:space="preserve"> View Map </v>
      </c>
    </row>
    <row r="184" spans="2:8" x14ac:dyDescent="0.2">
      <c r="B184" s="4" t="str">
        <f>PROPER(Sheet1!$B184&amp;" "&amp;"Tea Factory")</f>
        <v>Norwood Tea Factory</v>
      </c>
      <c r="F184" s="4">
        <f>Sheet1!G184</f>
        <v>0</v>
      </c>
      <c r="G184" s="4" t="str">
        <f>Sheet1!J184</f>
        <v>Norwood EstateNorwood</v>
      </c>
      <c r="H184" s="5" t="str">
        <f t="shared" si="0"/>
        <v xml:space="preserve"> View Map </v>
      </c>
    </row>
    <row r="185" spans="2:8" x14ac:dyDescent="0.2">
      <c r="B185" s="4" t="str">
        <f>PROPER(Sheet1!$B185&amp;" "&amp;"Tea Factory")</f>
        <v>Rothschild Tea Factory</v>
      </c>
      <c r="F185" s="4">
        <f>Sheet1!G185</f>
        <v>0</v>
      </c>
      <c r="G185" s="4" t="str">
        <f>Sheet1!J185</f>
        <v>Rothschildd EstatePussellawa</v>
      </c>
      <c r="H185" s="5" t="str">
        <f t="shared" si="0"/>
        <v xml:space="preserve"> View Map </v>
      </c>
    </row>
    <row r="186" spans="2:8" x14ac:dyDescent="0.2">
      <c r="B186" s="4" t="str">
        <f>PROPER(Sheet1!$B186&amp;" "&amp;"Tea Factory")</f>
        <v>Sogama Tea Factory</v>
      </c>
      <c r="F186" s="4" t="str">
        <f>Sheet1!G186</f>
        <v>Pusselawa</v>
      </c>
      <c r="G186" s="4" t="str">
        <f>Sheet1!J186</f>
        <v>Rothschild Estate,Pussellawa.</v>
      </c>
      <c r="H186" s="5" t="str">
        <f t="shared" si="0"/>
        <v xml:space="preserve"> View Map </v>
      </c>
    </row>
    <row r="187" spans="2:8" x14ac:dyDescent="0.2">
      <c r="B187" s="4" t="str">
        <f>PROPER(Sheet1!$B187&amp;" "&amp;"Tea Factory")</f>
        <v>Vellaioya Tea Factory</v>
      </c>
      <c r="F187" s="4">
        <f>Sheet1!G187</f>
        <v>0</v>
      </c>
      <c r="G187" s="4" t="str">
        <f>Sheet1!J187</f>
        <v>Vellai Oya EstateHatton</v>
      </c>
      <c r="H187" s="5" t="str">
        <f t="shared" si="0"/>
        <v xml:space="preserve"> View Map </v>
      </c>
    </row>
    <row r="188" spans="2:8" x14ac:dyDescent="0.2">
      <c r="B188" s="4" t="str">
        <f>PROPER(Sheet1!$B188&amp;" "&amp;"Tea Factory")</f>
        <v>Wevekellie  Tea Factory</v>
      </c>
      <c r="F188" s="4">
        <f>Sheet1!G188</f>
        <v>0</v>
      </c>
      <c r="G188" s="4" t="str">
        <f>Sheet1!J188</f>
        <v>Welkule Estate</v>
      </c>
      <c r="H188" s="5" t="str">
        <f t="shared" si="0"/>
        <v xml:space="preserve"> View Map </v>
      </c>
    </row>
    <row r="189" spans="2:8" x14ac:dyDescent="0.2">
      <c r="B189" s="4" t="str">
        <f>PROPER(Sheet1!$B189&amp;" "&amp;"Tea Factory")</f>
        <v>Yatideriya Tea Factory</v>
      </c>
      <c r="F189" s="4">
        <f>Sheet1!G189</f>
        <v>0</v>
      </c>
      <c r="G189" s="4" t="str">
        <f>Sheet1!J189</f>
        <v>Yataderiya Estate,Udhugoda,Bulathkohupitiya.</v>
      </c>
      <c r="H189" s="5" t="str">
        <f t="shared" si="0"/>
        <v xml:space="preserve"> View Map </v>
      </c>
    </row>
    <row r="190" spans="2:8" x14ac:dyDescent="0.2">
      <c r="B190" s="4" t="str">
        <f>PROPER(Sheet1!$B190&amp;" "&amp;"Tea Factory")</f>
        <v>St. John'S Hill Tea Factory</v>
      </c>
      <c r="F190" s="4" t="str">
        <f>Sheet1!G190</f>
        <v>NULL</v>
      </c>
      <c r="G190" s="4">
        <f>Sheet1!J190</f>
        <v>0</v>
      </c>
      <c r="H190" s="5" t="str">
        <f t="shared" si="0"/>
        <v xml:space="preserve"> View Map </v>
      </c>
    </row>
    <row r="191" spans="2:8" x14ac:dyDescent="0.2">
      <c r="B191" s="4" t="str">
        <f>PROPER(Sheet1!$B191&amp;" "&amp;"Tea Factory")</f>
        <v>Hartley Tea Factory</v>
      </c>
      <c r="F191" s="4">
        <f>Sheet1!G191</f>
        <v>0</v>
      </c>
      <c r="G191" s="4" t="str">
        <f>Sheet1!J191</f>
        <v>Mahagama,Polegoda.</v>
      </c>
      <c r="H191" s="5" t="str">
        <f t="shared" si="0"/>
        <v xml:space="preserve"> View Map </v>
      </c>
    </row>
    <row r="192" spans="2:8" x14ac:dyDescent="0.2">
      <c r="B192" s="4" t="str">
        <f>PROPER(Sheet1!$B192&amp;" "&amp;"Tea Factory")</f>
        <v>Argra Ouvah Tea Factory</v>
      </c>
      <c r="F192" s="4" t="str">
        <f>Sheet1!G192</f>
        <v>Agarapathana</v>
      </c>
      <c r="G192" s="4" t="str">
        <f>Sheet1!J192</f>
        <v>Agra Ouvah EstateAgarapathana</v>
      </c>
      <c r="H192" s="5" t="str">
        <f t="shared" si="0"/>
        <v xml:space="preserve"> View Map </v>
      </c>
    </row>
    <row r="193" spans="2:8" x14ac:dyDescent="0.2">
      <c r="B193" s="4" t="str">
        <f>PROPER(Sheet1!$B193&amp;" "&amp;"Tea Factory")</f>
        <v>Cecilton  Tea Factory</v>
      </c>
      <c r="F193" s="4">
        <f>Sheet1!G193</f>
        <v>0</v>
      </c>
      <c r="G193" s="4" t="str">
        <f>Sheet1!J193</f>
        <v>Cicilton EstatePinnawala</v>
      </c>
      <c r="H193" s="5" t="str">
        <f t="shared" si="0"/>
        <v xml:space="preserve"> View Map </v>
      </c>
    </row>
    <row r="194" spans="2:8" x14ac:dyDescent="0.2">
      <c r="B194" s="4" t="str">
        <f>PROPER(Sheet1!$B194&amp;" "&amp;"Tea Factory")</f>
        <v>Balmoral Tea Factory</v>
      </c>
      <c r="F194" s="4" t="str">
        <f>Sheet1!G194</f>
        <v>Agarapathana</v>
      </c>
      <c r="G194" s="4" t="str">
        <f>Sheet1!J194</f>
        <v>Balmoral EstateAgarapathana</v>
      </c>
      <c r="H194" s="5" t="str">
        <f t="shared" si="0"/>
        <v xml:space="preserve"> View Map </v>
      </c>
    </row>
    <row r="195" spans="2:8" x14ac:dyDescent="0.2">
      <c r="B195" s="4" t="str">
        <f>PROPER(Sheet1!$B195&amp;" "&amp;"Tea Factory")</f>
        <v>Maratenne Tea Factory</v>
      </c>
      <c r="F195" s="4">
        <f>Sheet1!G195</f>
        <v>0</v>
      </c>
      <c r="G195" s="4" t="str">
        <f>Sheet1!J195</f>
        <v>MARATENNE TEA FACTORYBALANGODA GROUPBALANGODA</v>
      </c>
      <c r="H195" s="5" t="str">
        <f t="shared" si="0"/>
        <v xml:space="preserve"> View Map </v>
      </c>
    </row>
    <row r="196" spans="2:8" x14ac:dyDescent="0.2">
      <c r="B196" s="4" t="str">
        <f>PROPER(Sheet1!$B196&amp;" "&amp;"Tea Factory")</f>
        <v>Bandarapola Tea Factory</v>
      </c>
      <c r="F196" s="4" t="str">
        <f>Sheet1!G196</f>
        <v>Alwatte</v>
      </c>
      <c r="G196" s="4" t="str">
        <f>Sheet1!J196</f>
        <v>Bandarapola EstateAlwatteMatale</v>
      </c>
      <c r="H196" s="5" t="str">
        <f t="shared" si="0"/>
        <v xml:space="preserve"> View Map </v>
      </c>
    </row>
    <row r="197" spans="2:8" x14ac:dyDescent="0.2">
      <c r="B197" s="4" t="str">
        <f>PROPER(Sheet1!$B197&amp;" "&amp;"Tea Factory")</f>
        <v>Battawatte Tea Factory</v>
      </c>
      <c r="F197" s="4">
        <f>Sheet1!G197</f>
        <v>0</v>
      </c>
      <c r="G197" s="4" t="str">
        <f>Sheet1!J197</f>
        <v>Battawatta GroupMadulsima</v>
      </c>
      <c r="H197" s="5" t="str">
        <f t="shared" si="0"/>
        <v xml:space="preserve"> View Map </v>
      </c>
    </row>
    <row r="198" spans="2:8" x14ac:dyDescent="0.2">
      <c r="B198" s="4" t="str">
        <f>PROPER(Sheet1!$B198&amp;" "&amp;"Tea Factory")</f>
        <v>Brunswick Tea Factory</v>
      </c>
      <c r="F198" s="4" t="str">
        <f>Sheet1!G198</f>
        <v>Ambagamuwa</v>
      </c>
      <c r="G198" s="4" t="str">
        <f>Sheet1!J198</f>
        <v>Brunswick EstateMaskeliya</v>
      </c>
      <c r="H198" s="5" t="str">
        <f t="shared" si="0"/>
        <v xml:space="preserve"> View Map </v>
      </c>
    </row>
    <row r="199" spans="2:8" x14ac:dyDescent="0.2">
      <c r="B199" s="4" t="str">
        <f>PROPER(Sheet1!$B199&amp;" "&amp;"Tea Factory")</f>
        <v>Dankoluwa Tea Factory</v>
      </c>
      <c r="F199" s="4">
        <f>Sheet1!G199</f>
        <v>0</v>
      </c>
      <c r="G199" s="4" t="str">
        <f>Sheet1!J199</f>
        <v>Pitabeddera</v>
      </c>
      <c r="H199" s="5" t="str">
        <f t="shared" si="0"/>
        <v xml:space="preserve"> View Map </v>
      </c>
    </row>
    <row r="200" spans="2:8" x14ac:dyDescent="0.2">
      <c r="B200" s="4" t="str">
        <f>PROPER(Sheet1!$B200&amp;" "&amp;"Tea Factory")</f>
        <v>Southem  Tea Factory</v>
      </c>
      <c r="F200" s="4">
        <f>Sheet1!G200</f>
        <v>0</v>
      </c>
      <c r="G200" s="4" t="str">
        <f>Sheet1!J200</f>
        <v>Demodara EstateDemodara</v>
      </c>
      <c r="H200" s="5" t="str">
        <f t="shared" si="0"/>
        <v xml:space="preserve"> View Map </v>
      </c>
    </row>
    <row r="201" spans="2:8" x14ac:dyDescent="0.2">
      <c r="B201" s="4" t="str">
        <f>PROPER(Sheet1!$B201&amp;" "&amp;"Tea Factory")</f>
        <v>Dickwella  Tea Factory</v>
      </c>
      <c r="F201" s="4">
        <f>Sheet1!G201</f>
        <v>0</v>
      </c>
      <c r="G201" s="4" t="str">
        <f>Sheet1!J201</f>
        <v>Hali Ella</v>
      </c>
      <c r="H201" s="5" t="str">
        <f t="shared" si="0"/>
        <v xml:space="preserve"> View Map </v>
      </c>
    </row>
    <row r="202" spans="2:8" x14ac:dyDescent="0.2">
      <c r="B202" s="4" t="str">
        <f>PROPER(Sheet1!$B202&amp;" "&amp;"Tea Factory")</f>
        <v>Drayton  Tea Factory</v>
      </c>
      <c r="F202" s="4" t="str">
        <f>Sheet1!G202</f>
        <v>Kotagala</v>
      </c>
      <c r="G202" s="4" t="str">
        <f>Sheet1!J202</f>
        <v>Drayton EstateKotagala</v>
      </c>
      <c r="H202" s="5" t="str">
        <f t="shared" si="0"/>
        <v xml:space="preserve"> View Map </v>
      </c>
    </row>
    <row r="203" spans="2:8" x14ac:dyDescent="0.2">
      <c r="B203" s="4" t="str">
        <f>PROPER(Sheet1!$B203&amp;" "&amp;"Tea Factory")</f>
        <v>Dunkeld Tea Factory</v>
      </c>
      <c r="F203" s="4" t="str">
        <f>Sheet1!G203</f>
        <v>Dick Oya</v>
      </c>
      <c r="G203" s="4" t="str">
        <f>Sheet1!J203</f>
        <v>Dunkeld EstateDickoya</v>
      </c>
      <c r="H203" s="5" t="str">
        <f t="shared" si="0"/>
        <v xml:space="preserve"> View Map </v>
      </c>
    </row>
    <row r="204" spans="2:8" x14ac:dyDescent="0.2">
      <c r="B204" s="4" t="str">
        <f>PROPER(Sheet1!$B204&amp;" "&amp;"Tea Factory")</f>
        <v>Edinburg Tea Factory</v>
      </c>
      <c r="F204" s="4">
        <f>Sheet1!G204</f>
        <v>0</v>
      </c>
      <c r="G204" s="4" t="str">
        <f>Sheet1!J204</f>
        <v>Edinburgh Estate</v>
      </c>
      <c r="H204" s="5" t="str">
        <f t="shared" si="0"/>
        <v xml:space="preserve"> View Map </v>
      </c>
    </row>
    <row r="205" spans="2:8" x14ac:dyDescent="0.2">
      <c r="B205" s="4" t="str">
        <f>PROPER(Sheet1!$B205&amp;" "&amp;"Tea Factory")</f>
        <v>Frotoft Tea Factory</v>
      </c>
      <c r="F205" s="4">
        <f>Sheet1!G205</f>
        <v>0</v>
      </c>
      <c r="G205" s="4" t="str">
        <f>Sheet1!J205</f>
        <v>Frotoft GroupRambodaHatton</v>
      </c>
      <c r="H205" s="5" t="str">
        <f t="shared" si="0"/>
        <v xml:space="preserve"> View Map </v>
      </c>
    </row>
    <row r="206" spans="2:8" x14ac:dyDescent="0.2">
      <c r="B206" s="4" t="str">
        <f>PROPER(Sheet1!$B206&amp;" "&amp;"Tea Factory")</f>
        <v>Gampaha  Tea Factory</v>
      </c>
      <c r="F206" s="4">
        <f>Sheet1!G206</f>
        <v>0</v>
      </c>
      <c r="G206" s="4" t="str">
        <f>Sheet1!J206</f>
        <v>Udupussellawa</v>
      </c>
      <c r="H206" s="5" t="str">
        <f t="shared" si="0"/>
        <v xml:space="preserve"> View Map </v>
      </c>
    </row>
    <row r="207" spans="2:8" x14ac:dyDescent="0.2">
      <c r="B207" s="4" t="str">
        <f>PROPER(Sheet1!$B207&amp;" "&amp;"Tea Factory")</f>
        <v>Gonapitiya Group Tea Factory</v>
      </c>
      <c r="F207" s="4">
        <f>Sheet1!G207</f>
        <v>0</v>
      </c>
      <c r="G207" s="4" t="str">
        <f>Sheet1!J207</f>
        <v>Gonapitiya Estate</v>
      </c>
      <c r="H207" s="5" t="str">
        <f t="shared" si="0"/>
        <v xml:space="preserve"> View Map </v>
      </c>
    </row>
    <row r="208" spans="2:8" x14ac:dyDescent="0.2">
      <c r="B208" s="4" t="str">
        <f>PROPER(Sheet1!$B208&amp;" "&amp;"Tea Factory")</f>
        <v>High Forest Tea Factory</v>
      </c>
      <c r="F208" s="4">
        <f>Sheet1!G208</f>
        <v>0</v>
      </c>
      <c r="G208" s="4" t="str">
        <f>Sheet1!J208</f>
        <v>High Forest Estate</v>
      </c>
      <c r="H208" s="5" t="str">
        <f t="shared" si="0"/>
        <v xml:space="preserve"> View Map </v>
      </c>
    </row>
    <row r="209" spans="2:8" x14ac:dyDescent="0.2">
      <c r="B209" s="4" t="str">
        <f>PROPER(Sheet1!$B209&amp;" "&amp;"Tea Factory")</f>
        <v>Hayes Tea Factory</v>
      </c>
      <c r="F209" s="4">
        <f>Sheet1!G209</f>
        <v>0</v>
      </c>
      <c r="G209" s="4" t="str">
        <f>Sheet1!J209</f>
        <v>UlliduwawaDeniyayaMatara</v>
      </c>
      <c r="H209" s="5" t="str">
        <f t="shared" si="0"/>
        <v xml:space="preserve"> View Map </v>
      </c>
    </row>
    <row r="210" spans="2:8" x14ac:dyDescent="0.2">
      <c r="B210" s="4" t="str">
        <f>PROPER(Sheet1!$B210&amp;" "&amp;"Tea Factory")</f>
        <v>Ingestre Tea Factory</v>
      </c>
      <c r="F210" s="4">
        <f>Sheet1!G210</f>
        <v>0</v>
      </c>
      <c r="G210" s="4" t="str">
        <f>Sheet1!J210</f>
        <v>Ingestre EstateDickoya</v>
      </c>
      <c r="H210" s="5" t="str">
        <f t="shared" si="0"/>
        <v xml:space="preserve"> View Map </v>
      </c>
    </row>
    <row r="211" spans="2:8" x14ac:dyDescent="0.2">
      <c r="B211" s="4" t="str">
        <f>PROPER(Sheet1!$B211&amp;" "&amp;"Tea Factory")</f>
        <v>Luccombe Tea Factory</v>
      </c>
      <c r="F211" s="4">
        <f>Sheet1!G211</f>
        <v>0</v>
      </c>
      <c r="G211" s="4">
        <f>Sheet1!J211</f>
        <v>0</v>
      </c>
      <c r="H211" s="5" t="str">
        <f t="shared" si="0"/>
        <v xml:space="preserve"> View Map </v>
      </c>
    </row>
    <row r="212" spans="2:8" x14ac:dyDescent="0.2">
      <c r="B212" s="4" t="str">
        <f>PROPER(Sheet1!$B212&amp;" "&amp;"Tea Factory")</f>
        <v>Maha Uva Tea Factory</v>
      </c>
      <c r="F212" s="4">
        <f>Sheet1!G212</f>
        <v>0</v>
      </c>
      <c r="G212" s="4" t="str">
        <f>Sheet1!J212</f>
        <v>Mahauva Estate,Walapane.</v>
      </c>
      <c r="H212" s="5" t="str">
        <f t="shared" si="0"/>
        <v xml:space="preserve"> View Map </v>
      </c>
    </row>
    <row r="213" spans="2:8" x14ac:dyDescent="0.2">
      <c r="B213" s="4" t="str">
        <f>PROPER(Sheet1!$B213&amp;" "&amp;"Tea Factory")</f>
        <v>Moray  Tea Factory</v>
      </c>
      <c r="F213" s="4">
        <f>Sheet1!G213</f>
        <v>0</v>
      </c>
      <c r="G213" s="4" t="str">
        <f>Sheet1!J213</f>
        <v>Moray State PlantationMaskeliya</v>
      </c>
      <c r="H213" s="5" t="str">
        <f t="shared" si="0"/>
        <v xml:space="preserve"> View Map </v>
      </c>
    </row>
    <row r="214" spans="2:8" x14ac:dyDescent="0.2">
      <c r="B214" s="4" t="str">
        <f>PROPER(Sheet1!$B214&amp;" "&amp;"Tea Factory")</f>
        <v>Elpitiya Tea Factory</v>
      </c>
      <c r="F214" s="4">
        <f>Sheet1!G214</f>
        <v>0</v>
      </c>
      <c r="G214" s="4" t="str">
        <f>Sheet1!J214</f>
        <v>Elpitiya Estate,Weligalla.</v>
      </c>
      <c r="H214" s="5" t="str">
        <f t="shared" si="0"/>
        <v xml:space="preserve"> View Map </v>
      </c>
    </row>
    <row r="215" spans="2:8" x14ac:dyDescent="0.2">
      <c r="B215" s="4" t="str">
        <f>PROPER(Sheet1!$B215&amp;" "&amp;"Tea Factory")</f>
        <v>Horamulla  Tea Factory</v>
      </c>
      <c r="F215" s="4">
        <f>Sheet1!G215</f>
        <v>0</v>
      </c>
      <c r="G215" s="4" t="str">
        <f>Sheet1!J215</f>
        <v>DemuwawathaRakwana</v>
      </c>
      <c r="H215" s="5" t="str">
        <f t="shared" si="0"/>
        <v xml:space="preserve"> View Map </v>
      </c>
    </row>
    <row r="216" spans="2:8" x14ac:dyDescent="0.2">
      <c r="B216" s="4" t="str">
        <f>PROPER(Sheet1!$B216&amp;" "&amp;"Tea Factory")</f>
        <v>Katanwila Tea Factory</v>
      </c>
      <c r="F216" s="4">
        <f>Sheet1!G216</f>
        <v>0</v>
      </c>
      <c r="G216" s="4" t="str">
        <f>Sheet1!J216</f>
        <v>Maliduwa,  Akuressa</v>
      </c>
      <c r="H216" s="5" t="str">
        <f t="shared" si="0"/>
        <v xml:space="preserve"> View Map </v>
      </c>
    </row>
    <row r="217" spans="2:8" x14ac:dyDescent="0.2">
      <c r="B217" s="4" t="str">
        <f>PROPER(Sheet1!$B217&amp;" "&amp;"Tea Factory")</f>
        <v>Sinhapitiya Tea Factory</v>
      </c>
      <c r="F217" s="4" t="str">
        <f>Sheet1!G217</f>
        <v>Welikanda</v>
      </c>
      <c r="G217" s="4" t="str">
        <f>Sheet1!J217</f>
        <v>Welikanda, Meethalawa,Gampola.</v>
      </c>
      <c r="H217" s="5" t="str">
        <f t="shared" si="0"/>
        <v xml:space="preserve"> View Map </v>
      </c>
    </row>
    <row r="218" spans="2:8" x14ac:dyDescent="0.2">
      <c r="B218" s="4" t="str">
        <f>PROPER(Sheet1!$B218&amp;" "&amp;"Tea Factory")</f>
        <v>Coolbawn  Tea Factory</v>
      </c>
      <c r="F218" s="4" t="str">
        <f>Sheet1!G218</f>
        <v>Ambagamuwa</v>
      </c>
      <c r="G218" s="4" t="str">
        <f>Sheet1!J218</f>
        <v>AmbagammuwaGinigathhena</v>
      </c>
      <c r="H218" s="5" t="str">
        <f t="shared" si="0"/>
        <v xml:space="preserve"> View Map </v>
      </c>
    </row>
    <row r="219" spans="2:8" x14ac:dyDescent="0.2">
      <c r="B219" s="4" t="str">
        <f>PROPER(Sheet1!$B219&amp;" "&amp;"Tea Factory")</f>
        <v>South Co-Op Tea Factory</v>
      </c>
      <c r="F219" s="4">
        <f>Sheet1!G219</f>
        <v>0</v>
      </c>
      <c r="G219" s="4" t="str">
        <f>Sheet1!J219</f>
        <v>HenagamaAkuressa</v>
      </c>
      <c r="H219" s="5" t="str">
        <f t="shared" si="0"/>
        <v xml:space="preserve"> View Map </v>
      </c>
    </row>
    <row r="220" spans="2:8" x14ac:dyDescent="0.2">
      <c r="B220" s="4" t="str">
        <f>PROPER(Sheet1!$B220&amp;" "&amp;"Tea Factory")</f>
        <v>Randola  Tea Factory</v>
      </c>
      <c r="F220" s="4">
        <f>Sheet1!G220</f>
        <v>0</v>
      </c>
      <c r="G220" s="4" t="str">
        <f>Sheet1!J220</f>
        <v>Kirimetithenna,Balangoda,Ratnapura.</v>
      </c>
      <c r="H220" s="5" t="str">
        <f t="shared" si="0"/>
        <v xml:space="preserve"> View Map </v>
      </c>
    </row>
    <row r="221" spans="2:8" x14ac:dyDescent="0.2">
      <c r="B221" s="4" t="str">
        <f>PROPER(Sheet1!$B221&amp;" "&amp;"Tea Factory")</f>
        <v>Nabrukande Tea Factory</v>
      </c>
      <c r="F221" s="4" t="str">
        <f>Sheet1!G221</f>
        <v>NULL</v>
      </c>
      <c r="G221" s="4" t="str">
        <f>Sheet1!J221</f>
        <v>Namburukanda Group</v>
      </c>
      <c r="H221" s="5" t="str">
        <f t="shared" si="0"/>
        <v xml:space="preserve"> View Map </v>
      </c>
    </row>
    <row r="222" spans="2:8" x14ac:dyDescent="0.2">
      <c r="B222" s="4" t="str">
        <f>PROPER(Sheet1!$B222&amp;" "&amp;"Tea Factory")</f>
        <v>Wangioya  Tea Factory</v>
      </c>
      <c r="F222" s="4">
        <f>Sheet1!G222</f>
        <v>0</v>
      </c>
      <c r="G222" s="4" t="str">
        <f>Sheet1!J222</f>
        <v>Radella EstateNanuoya</v>
      </c>
      <c r="H222" s="5" t="str">
        <f t="shared" si="0"/>
        <v xml:space="preserve"> View Map </v>
      </c>
    </row>
    <row r="223" spans="2:8" x14ac:dyDescent="0.2">
      <c r="B223" s="4" t="str">
        <f>PROPER(Sheet1!$B223&amp;" "&amp;"Tea Factory")</f>
        <v>Serendib  Tea Factory</v>
      </c>
      <c r="F223" s="4">
        <f>Sheet1!G223</f>
        <v>0</v>
      </c>
      <c r="G223" s="4" t="str">
        <f>Sheet1!J223</f>
        <v>Queentown GroupHali Ella</v>
      </c>
      <c r="H223" s="5" t="str">
        <f t="shared" si="0"/>
        <v xml:space="preserve"> View Map </v>
      </c>
    </row>
    <row r="224" spans="2:8" x14ac:dyDescent="0.2">
      <c r="B224" s="4" t="str">
        <f>PROPER(Sheet1!$B224&amp;" "&amp;"Tea Factory")</f>
        <v>Uduwela Estate Tea Factory</v>
      </c>
      <c r="F224" s="4">
        <f>Sheet1!G224</f>
        <v>0</v>
      </c>
      <c r="G224" s="4" t="str">
        <f>Sheet1!J224</f>
        <v>Hantane GroupKandy</v>
      </c>
      <c r="H224" s="5" t="str">
        <f t="shared" si="0"/>
        <v xml:space="preserve"> View Map </v>
      </c>
    </row>
    <row r="225" spans="2:8" x14ac:dyDescent="0.2">
      <c r="B225" s="4" t="str">
        <f>PROPER(Sheet1!$B225&amp;" "&amp;"Tea Factory")</f>
        <v>Kandedola Tea Factory</v>
      </c>
      <c r="F225" s="4" t="str">
        <f>Sheet1!G225</f>
        <v>Gorakawela</v>
      </c>
      <c r="G225" s="4" t="str">
        <f>Sheet1!J225</f>
        <v>Gorakawela,Pitabeddara.</v>
      </c>
      <c r="H225" s="5" t="str">
        <f t="shared" si="0"/>
        <v xml:space="preserve"> View Map </v>
      </c>
    </row>
    <row r="226" spans="2:8" x14ac:dyDescent="0.2">
      <c r="B226" s="4" t="str">
        <f>PROPER(Sheet1!$B226&amp;" "&amp;"Tea Factory")</f>
        <v>Uruwala Tea Factory</v>
      </c>
      <c r="F226" s="4" t="str">
        <f>Sheet1!G226</f>
        <v>Thalahagama</v>
      </c>
      <c r="G226" s="4" t="str">
        <f>Sheet1!J226</f>
        <v>Uruwala Estate,Akuressa.</v>
      </c>
      <c r="H226" s="5" t="str">
        <f t="shared" si="0"/>
        <v xml:space="preserve"> View Map </v>
      </c>
    </row>
    <row r="227" spans="2:8" x14ac:dyDescent="0.2">
      <c r="B227" s="4" t="str">
        <f>PROPER(Sheet1!$B227&amp;" "&amp;"Tea Factory")</f>
        <v>Rajagaha Tea Factory</v>
      </c>
      <c r="F227" s="4" t="str">
        <f>Sheet1!G227</f>
        <v>Ihalagoda</v>
      </c>
      <c r="G227" s="4" t="str">
        <f>Sheet1!J227</f>
        <v>IhalagodaAkmeemana</v>
      </c>
      <c r="H227" s="5" t="str">
        <f t="shared" si="0"/>
        <v xml:space="preserve"> View Map </v>
      </c>
    </row>
    <row r="228" spans="2:8" x14ac:dyDescent="0.2">
      <c r="B228" s="4" t="str">
        <f>PROPER(Sheet1!$B228&amp;" "&amp;"Tea Factory")</f>
        <v>Kingsbru Tea Factory</v>
      </c>
      <c r="F228" s="4">
        <f>Sheet1!G228</f>
        <v>0</v>
      </c>
      <c r="G228" s="4" t="str">
        <f>Sheet1!J228</f>
        <v>Pallegama Road,Deniyaya.</v>
      </c>
      <c r="H228" s="5" t="str">
        <f t="shared" si="0"/>
        <v xml:space="preserve"> View Map </v>
      </c>
    </row>
    <row r="229" spans="2:8" x14ac:dyDescent="0.2">
      <c r="B229" s="4" t="str">
        <f>PROPER(Sheet1!$B229&amp;" "&amp;"Tea Factory")</f>
        <v>Seevali Hill Tea Factory</v>
      </c>
      <c r="F229" s="4" t="str">
        <f>Sheet1!G229</f>
        <v>Wattappola</v>
      </c>
      <c r="G229" s="4" t="str">
        <f>Sheet1!J229</f>
        <v>WattappolaKadugannawa</v>
      </c>
      <c r="H229" s="5" t="str">
        <f t="shared" si="0"/>
        <v xml:space="preserve"> View Map </v>
      </c>
    </row>
    <row r="230" spans="2:8" x14ac:dyDescent="0.2">
      <c r="B230" s="4" t="str">
        <f>PROPER(Sheet1!$B230&amp;" "&amp;"Tea Factory")</f>
        <v>Nelundeniya Tea Factory</v>
      </c>
      <c r="F230" s="4">
        <f>Sheet1!G230</f>
        <v>0</v>
      </c>
      <c r="G230" s="4" t="str">
        <f>Sheet1!J230</f>
        <v>Kandy Road,Yattogoda,Nelundeniya.</v>
      </c>
      <c r="H230" s="5" t="str">
        <f t="shared" si="0"/>
        <v xml:space="preserve"> View Map </v>
      </c>
    </row>
    <row r="231" spans="2:8" x14ac:dyDescent="0.2">
      <c r="B231" s="4" t="str">
        <f>PROPER(Sheet1!$B231&amp;" "&amp;"Tea Factory")</f>
        <v>Gurukanda Tea Factory</v>
      </c>
      <c r="F231" s="4" t="str">
        <f>Sheet1!G231</f>
        <v>Niyagama</v>
      </c>
      <c r="G231" s="4" t="str">
        <f>Sheet1!J231</f>
        <v>Gurukanda EstateTalgaswala</v>
      </c>
      <c r="H231" s="5" t="str">
        <f t="shared" si="0"/>
        <v xml:space="preserve"> View Map </v>
      </c>
    </row>
    <row r="232" spans="2:8" x14ac:dyDescent="0.2">
      <c r="B232" s="4" t="str">
        <f>PROPER(Sheet1!$B232&amp;" "&amp;"Tea Factory")</f>
        <v>Andapane Tea Factory</v>
      </c>
      <c r="F232" s="4" t="str">
        <f>Sheet1!G232</f>
        <v>NULL</v>
      </c>
      <c r="G232" s="4">
        <f>Sheet1!J232</f>
        <v>0</v>
      </c>
      <c r="H232" s="5" t="str">
        <f t="shared" si="0"/>
        <v xml:space="preserve"> View Map </v>
      </c>
    </row>
    <row r="233" spans="2:8" x14ac:dyDescent="0.2">
      <c r="B233" s="4" t="str">
        <f>PROPER(Sheet1!$B233&amp;" "&amp;"Tea Factory")</f>
        <v>Mawarala Tea Shakthi  Tea Factory</v>
      </c>
      <c r="F233" s="4" t="str">
        <f>Sheet1!G233</f>
        <v>Gomila</v>
      </c>
      <c r="G233" s="4" t="str">
        <f>Sheet1!J233</f>
        <v>Gomila,Mawarala Watte,Mawarala.</v>
      </c>
      <c r="H233" s="5" t="str">
        <f t="shared" si="0"/>
        <v xml:space="preserve"> View Map </v>
      </c>
    </row>
    <row r="234" spans="2:8" x14ac:dyDescent="0.2">
      <c r="B234" s="4" t="str">
        <f>PROPER(Sheet1!$B234&amp;" "&amp;"Tea Factory")</f>
        <v>Aennen Tea Factory</v>
      </c>
      <c r="F234" s="4" t="str">
        <f>Sheet1!G234</f>
        <v>Pebotuwa</v>
      </c>
      <c r="G234" s="4" t="str">
        <f>Sheet1!J234</f>
        <v>PebotuwaRatnapura</v>
      </c>
      <c r="H234" s="5" t="str">
        <f t="shared" si="0"/>
        <v xml:space="preserve"> View Map </v>
      </c>
    </row>
    <row r="235" spans="2:8" x14ac:dyDescent="0.2">
      <c r="B235" s="4" t="str">
        <f>PROPER(Sheet1!$B235&amp;" "&amp;"Tea Factory")</f>
        <v>Gardiya Tea Factory</v>
      </c>
      <c r="F235" s="4" t="str">
        <f>Sheet1!G235</f>
        <v>NULL</v>
      </c>
      <c r="G235" s="4">
        <f>Sheet1!J235</f>
        <v>0</v>
      </c>
      <c r="H235" s="5" t="str">
        <f t="shared" si="0"/>
        <v xml:space="preserve"> View Map </v>
      </c>
    </row>
    <row r="236" spans="2:8" x14ac:dyDescent="0.2">
      <c r="B236" s="4" t="str">
        <f>PROPER(Sheet1!$B236&amp;" "&amp;"Tea Factory")</f>
        <v>Agarsland Tea Factory</v>
      </c>
      <c r="F236" s="4">
        <f>Sheet1!G236</f>
        <v>0</v>
      </c>
      <c r="G236" s="4" t="str">
        <f>Sheet1!J236</f>
        <v>Agarsland EstateBalangoda</v>
      </c>
      <c r="H236" s="5" t="str">
        <f t="shared" si="0"/>
        <v xml:space="preserve"> View Map </v>
      </c>
    </row>
    <row r="237" spans="2:8" x14ac:dyDescent="0.2">
      <c r="B237" s="4" t="str">
        <f>PROPER(Sheet1!$B237&amp;" "&amp;"Tea Factory")</f>
        <v>Galagawa Tea Factory</v>
      </c>
      <c r="F237" s="4">
        <f>Sheet1!G237</f>
        <v>0</v>
      </c>
      <c r="G237" s="4" t="str">
        <f>Sheet1!J237</f>
        <v>BopagodaAkuressa</v>
      </c>
      <c r="H237" s="5" t="str">
        <f t="shared" si="0"/>
        <v xml:space="preserve"> View Map </v>
      </c>
    </row>
    <row r="238" spans="2:8" x14ac:dyDescent="0.2">
      <c r="B238" s="4" t="str">
        <f>PROPER(Sheet1!$B238&amp;" "&amp;"Tea Factory")</f>
        <v>Park Tea Factory</v>
      </c>
      <c r="F238" s="4" t="str">
        <f>Sheet1!G238</f>
        <v>Kandapola</v>
      </c>
      <c r="G238" s="4" t="str">
        <f>Sheet1!J238</f>
        <v>Park EstateKandepola</v>
      </c>
      <c r="H238" s="5" t="str">
        <f t="shared" si="0"/>
        <v xml:space="preserve"> View Map </v>
      </c>
    </row>
    <row r="239" spans="2:8" x14ac:dyDescent="0.2">
      <c r="B239" s="4" t="str">
        <f>PROPER(Sheet1!$B239&amp;" "&amp;"Tea Factory")</f>
        <v>Pedro Tea Factory</v>
      </c>
      <c r="F239" s="4">
        <f>Sheet1!G239</f>
        <v>0</v>
      </c>
      <c r="G239" s="4" t="str">
        <f>Sheet1!J239</f>
        <v>Pedro EstateNuwara Eliya</v>
      </c>
      <c r="H239" s="5" t="str">
        <f t="shared" si="0"/>
        <v xml:space="preserve"> View Map </v>
      </c>
    </row>
    <row r="240" spans="2:8" x14ac:dyDescent="0.2">
      <c r="B240" s="4" t="str">
        <f>PROPER(Sheet1!$B240&amp;" "&amp;"Tea Factory")</f>
        <v>Court Lodge Tea Factory</v>
      </c>
      <c r="F240" s="4" t="str">
        <f>Sheet1!G240</f>
        <v>Kandapola</v>
      </c>
      <c r="G240" s="4" t="str">
        <f>Sheet1!J240</f>
        <v>Court Lodge EstateKandapola</v>
      </c>
      <c r="H240" s="5" t="str">
        <f t="shared" si="0"/>
        <v xml:space="preserve"> View Map </v>
      </c>
    </row>
    <row r="241" spans="2:8" x14ac:dyDescent="0.2">
      <c r="B241" s="4" t="str">
        <f>PROPER(Sheet1!$B241&amp;" "&amp;"Tea Factory")</f>
        <v>Carolina Tea Factory</v>
      </c>
      <c r="F241" s="4" t="str">
        <f>Sheet1!G241</f>
        <v>Watawala</v>
      </c>
      <c r="G241" s="4" t="str">
        <f>Sheet1!J241</f>
        <v>Corelina EstateWatawala</v>
      </c>
      <c r="H241" s="5" t="str">
        <f t="shared" si="0"/>
        <v xml:space="preserve"> View Map </v>
      </c>
    </row>
    <row r="242" spans="2:8" x14ac:dyDescent="0.2">
      <c r="B242" s="4" t="str">
        <f>PROPER(Sheet1!$B242&amp;" "&amp;"Tea Factory")</f>
        <v>Mount Jean Tea Factory</v>
      </c>
      <c r="F242" s="4" t="str">
        <f>Sheet1!G242</f>
        <v>Mount Jean</v>
      </c>
      <c r="G242" s="4" t="str">
        <f>Sheet1!J242</f>
        <v>Mount Jean Estate,Watawala.</v>
      </c>
      <c r="H242" s="5" t="str">
        <f t="shared" si="0"/>
        <v xml:space="preserve"> View Map </v>
      </c>
    </row>
    <row r="243" spans="2:8" x14ac:dyDescent="0.2">
      <c r="B243" s="4" t="str">
        <f>PROPER(Sheet1!$B243&amp;" "&amp;"Tea Factory")</f>
        <v>St. Margarets Tea Factory</v>
      </c>
      <c r="F243" s="4">
        <f>Sheet1!G243</f>
        <v>0</v>
      </c>
      <c r="G243" s="4">
        <f>Sheet1!J243</f>
        <v>0</v>
      </c>
      <c r="H243" s="5" t="str">
        <f t="shared" si="0"/>
        <v xml:space="preserve"> View Map </v>
      </c>
    </row>
    <row r="244" spans="2:8" x14ac:dyDescent="0.2">
      <c r="B244" s="4" t="str">
        <f>PROPER(Sheet1!$B244&amp;" "&amp;"Tea Factory")</f>
        <v>Chrystler'S Farm Tea Factory</v>
      </c>
      <c r="F244" s="4">
        <f>Sheet1!G244</f>
        <v>0</v>
      </c>
      <c r="G244" s="4" t="str">
        <f>Sheet1!J244</f>
        <v>Chrystlers Farm GroupKotagala</v>
      </c>
      <c r="H244" s="5" t="str">
        <f t="shared" si="0"/>
        <v xml:space="preserve"> View Map </v>
      </c>
    </row>
    <row r="245" spans="2:8" x14ac:dyDescent="0.2">
      <c r="B245" s="4" t="str">
        <f>PROPER(Sheet1!$B245&amp;" "&amp;"Tea Factory")</f>
        <v>Kew Tea Factory</v>
      </c>
      <c r="F245" s="4" t="str">
        <f>Sheet1!G245</f>
        <v>Norwood</v>
      </c>
      <c r="G245" s="4" t="str">
        <f>Sheet1!J245</f>
        <v>Kew  Estate Norwood.</v>
      </c>
      <c r="H245" s="5" t="str">
        <f t="shared" si="0"/>
        <v xml:space="preserve"> View Map </v>
      </c>
    </row>
    <row r="246" spans="2:8" x14ac:dyDescent="0.2">
      <c r="B246" s="4" t="str">
        <f>PROPER(Sheet1!$B246&amp;" "&amp;"Tea Factory")</f>
        <v>Portmore Tea Factory</v>
      </c>
      <c r="F246" s="4" t="str">
        <f>Sheet1!G246</f>
        <v>Agarapathana</v>
      </c>
      <c r="G246" s="4" t="str">
        <f>Sheet1!J246</f>
        <v>Portmore Tea Factory (Estate)Agarapathana</v>
      </c>
      <c r="H246" s="5" t="str">
        <f t="shared" si="0"/>
        <v xml:space="preserve"> View Map </v>
      </c>
    </row>
    <row r="247" spans="2:8" x14ac:dyDescent="0.2">
      <c r="B247" s="4" t="str">
        <f>PROPER(Sheet1!$B247&amp;" "&amp;"Tea Factory")</f>
        <v>Gikiyanakanda  Tea Factory</v>
      </c>
      <c r="F247" s="4">
        <f>Sheet1!G247</f>
        <v>0</v>
      </c>
      <c r="G247" s="4" t="str">
        <f>Sheet1!J247</f>
        <v>Geekiyanakanda Estate,Mathugama</v>
      </c>
      <c r="H247" s="5" t="str">
        <f t="shared" si="0"/>
        <v xml:space="preserve"> View Map </v>
      </c>
    </row>
    <row r="248" spans="2:8" x14ac:dyDescent="0.2">
      <c r="B248" s="4" t="str">
        <f>PROPER(Sheet1!$B248&amp;" "&amp;"Tea Factory")</f>
        <v>Ederapolla Tea Factory</v>
      </c>
      <c r="F248" s="4">
        <f>Sheet1!G248</f>
        <v>0</v>
      </c>
      <c r="G248" s="4" t="str">
        <f>Sheet1!J248</f>
        <v>Ederapolla Estate,Bulathkohupitiya.</v>
      </c>
      <c r="H248" s="5" t="str">
        <f t="shared" si="0"/>
        <v xml:space="preserve"> View Map </v>
      </c>
    </row>
    <row r="249" spans="2:8" x14ac:dyDescent="0.2">
      <c r="B249" s="4" t="str">
        <f>PROPER(Sheet1!$B249&amp;" "&amp;"Tea Factory")</f>
        <v>Choisy Tea Factory</v>
      </c>
      <c r="F249" s="4" t="str">
        <f>Sheet1!G249</f>
        <v>Niyangandara</v>
      </c>
      <c r="G249" s="4" t="str">
        <f>Sheet1!J249</f>
        <v>Pundaluoya</v>
      </c>
      <c r="H249" s="5" t="str">
        <f t="shared" si="0"/>
        <v xml:space="preserve"> View Map </v>
      </c>
    </row>
    <row r="250" spans="2:8" x14ac:dyDescent="0.2">
      <c r="B250" s="4" t="str">
        <f>PROPER(Sheet1!$B250&amp;" "&amp;"Tea Factory")</f>
        <v>Aigburth  Tea Factory</v>
      </c>
      <c r="F250" s="4" t="str">
        <f>Sheet1!G250</f>
        <v>Bulutota</v>
      </c>
      <c r="G250" s="4" t="str">
        <f>Sheet1!J250</f>
        <v>Aigburth Estate,Buluthota.</v>
      </c>
      <c r="H250" s="5" t="str">
        <f t="shared" si="0"/>
        <v xml:space="preserve"> View Map </v>
      </c>
    </row>
    <row r="251" spans="2:8" x14ac:dyDescent="0.2">
      <c r="B251" s="4" t="str">
        <f>PROPER(Sheet1!$B251&amp;" "&amp;"Tea Factory")</f>
        <v>Bogawana Tea Factory</v>
      </c>
      <c r="F251" s="4">
        <f>Sheet1!G251</f>
        <v>0</v>
      </c>
      <c r="G251" s="4" t="str">
        <f>Sheet1!J251</f>
        <v>Loinorn GroupBogawanthalawa</v>
      </c>
      <c r="H251" s="5" t="str">
        <f t="shared" si="0"/>
        <v xml:space="preserve"> View Map </v>
      </c>
    </row>
    <row r="252" spans="2:8" x14ac:dyDescent="0.2">
      <c r="B252" s="4" t="str">
        <f>PROPER(Sheet1!$B252&amp;" "&amp;"Tea Factory")</f>
        <v>Kirkosawald Tea Factory</v>
      </c>
      <c r="F252" s="4">
        <f>Sheet1!G252</f>
        <v>0</v>
      </c>
      <c r="G252" s="4" t="str">
        <f>Sheet1!J252</f>
        <v>Kirkoswald GroupBogawanthalawa</v>
      </c>
      <c r="H252" s="5" t="str">
        <f t="shared" si="0"/>
        <v xml:space="preserve"> View Map </v>
      </c>
    </row>
    <row r="253" spans="2:8" x14ac:dyDescent="0.2">
      <c r="B253" s="4" t="str">
        <f>PROPER(Sheet1!$B253&amp;" "&amp;"Tea Factory")</f>
        <v>Werellapatana  Tea Factory</v>
      </c>
      <c r="F253" s="4">
        <f>Sheet1!G253</f>
        <v>0</v>
      </c>
      <c r="G253" s="4" t="str">
        <f>Sheet1!J253</f>
        <v>Madulsima</v>
      </c>
      <c r="H253" s="5" t="str">
        <f t="shared" si="0"/>
        <v xml:space="preserve"> View Map </v>
      </c>
    </row>
    <row r="254" spans="2:8" x14ac:dyDescent="0.2">
      <c r="B254" s="4" t="str">
        <f>PROPER(Sheet1!$B254&amp;" "&amp;"Tea Factory")</f>
        <v>Great Western Tea Factory</v>
      </c>
      <c r="F254" s="4">
        <f>Sheet1!G254</f>
        <v>0</v>
      </c>
      <c r="G254" s="4" t="str">
        <f>Sheet1!J254</f>
        <v>Great Western EstateNuwara Eliya</v>
      </c>
      <c r="H254" s="5" t="str">
        <f t="shared" si="0"/>
        <v xml:space="preserve"> View Map </v>
      </c>
    </row>
    <row r="255" spans="2:8" x14ac:dyDescent="0.2">
      <c r="B255" s="4" t="str">
        <f>PROPER(Sheet1!$B255&amp;" "&amp;"Tea Factory")</f>
        <v>Hatherleigh  Tea Factory</v>
      </c>
      <c r="F255" s="4">
        <f>Sheet1!G255</f>
        <v>0</v>
      </c>
      <c r="G255" s="4" t="str">
        <f>Sheet1!J255</f>
        <v>Hatherleigh EstateRakwana</v>
      </c>
      <c r="H255" s="5" t="str">
        <f t="shared" si="0"/>
        <v xml:space="preserve"> View Map </v>
      </c>
    </row>
    <row r="256" spans="2:8" x14ac:dyDescent="0.2">
      <c r="B256" s="4" t="str">
        <f>PROPER(Sheet1!$B256&amp;" "&amp;"Tea Factory")</f>
        <v>Dimbula Tea Factory</v>
      </c>
      <c r="F256" s="4">
        <f>Sheet1!G256</f>
        <v>0</v>
      </c>
      <c r="G256" s="4" t="str">
        <f>Sheet1!J256</f>
        <v>Dimbula, Patana</v>
      </c>
      <c r="H256" s="5" t="str">
        <f t="shared" si="0"/>
        <v xml:space="preserve"> View Map </v>
      </c>
    </row>
    <row r="257" spans="2:8" x14ac:dyDescent="0.2">
      <c r="B257" s="4" t="str">
        <f>PROPER(Sheet1!$B257&amp;" "&amp;"Tea Factory")</f>
        <v>Queensberry  Tea Factory</v>
      </c>
      <c r="F257" s="4">
        <f>Sheet1!G257</f>
        <v>0</v>
      </c>
      <c r="G257" s="4" t="str">
        <f>Sheet1!J257</f>
        <v>Queensberry EstateKothmale</v>
      </c>
      <c r="H257" s="5" t="str">
        <f t="shared" ref="H257:H511" si="1">HYPERLINK("https://www.google.com/maps/search/"&amp;SUBSTITUTE($B257,"","+")," View Map ")</f>
        <v xml:space="preserve"> View Map </v>
      </c>
    </row>
    <row r="258" spans="2:8" x14ac:dyDescent="0.2">
      <c r="B258" s="4" t="str">
        <f>PROPER(Sheet1!$B258&amp;" "&amp;"Tea Factory")</f>
        <v>Lamiliere Tea Factory</v>
      </c>
      <c r="F258" s="4">
        <f>Sheet1!G258</f>
        <v>0</v>
      </c>
      <c r="G258" s="4" t="str">
        <f>Sheet1!J258</f>
        <v>Lindula</v>
      </c>
      <c r="H258" s="5" t="str">
        <f t="shared" si="1"/>
        <v xml:space="preserve"> View Map </v>
      </c>
    </row>
    <row r="259" spans="2:8" x14ac:dyDescent="0.2">
      <c r="B259" s="4" t="str">
        <f>PROPER(Sheet1!$B259&amp;" "&amp;"Tea Factory")</f>
        <v>Ampittiakande  Tea Factory</v>
      </c>
      <c r="F259" s="4" t="str">
        <f>Sheet1!G259</f>
        <v>Koslanda</v>
      </c>
      <c r="G259" s="4" t="str">
        <f>Sheet1!J259</f>
        <v>Ampitikanda EstatePoonagalla spo</v>
      </c>
      <c r="H259" s="5" t="str">
        <f t="shared" si="1"/>
        <v xml:space="preserve"> View Map </v>
      </c>
    </row>
    <row r="260" spans="2:8" x14ac:dyDescent="0.2">
      <c r="B260" s="4" t="str">
        <f>PROPER(Sheet1!$B260&amp;" "&amp;"Tea Factory")</f>
        <v>Fordyce  Tea Factory</v>
      </c>
      <c r="F260" s="4">
        <f>Sheet1!G260</f>
        <v>0</v>
      </c>
      <c r="G260" s="4" t="str">
        <f>Sheet1!J260</f>
        <v>Fordyce EstateDickoya</v>
      </c>
      <c r="H260" s="5" t="str">
        <f t="shared" si="1"/>
        <v xml:space="preserve"> View Map </v>
      </c>
    </row>
    <row r="261" spans="2:8" x14ac:dyDescent="0.2">
      <c r="B261" s="4" t="str">
        <f>PROPER(Sheet1!$B261&amp;" "&amp;"Tea Factory")</f>
        <v>Greenfield  Tea Factory</v>
      </c>
      <c r="F261" s="4" t="str">
        <f>Sheet1!G261</f>
        <v>Nikapoltha</v>
      </c>
      <c r="G261" s="4" t="str">
        <f>Sheet1!J261</f>
        <v>Thotulagalla Estate,Haputale.</v>
      </c>
      <c r="H261" s="5" t="str">
        <f t="shared" si="1"/>
        <v xml:space="preserve"> View Map </v>
      </c>
    </row>
    <row r="262" spans="2:8" x14ac:dyDescent="0.2">
      <c r="B262" s="4" t="str">
        <f>PROPER(Sheet1!$B262&amp;" "&amp;"Tea Factory")</f>
        <v>Logie Tea Factory</v>
      </c>
      <c r="F262" s="4">
        <f>Sheet1!G262</f>
        <v>0</v>
      </c>
      <c r="G262" s="4" t="str">
        <f>Sheet1!J262</f>
        <v>Logie EstateNuwara Eliya</v>
      </c>
      <c r="H262" s="5" t="str">
        <f t="shared" si="1"/>
        <v xml:space="preserve"> View Map </v>
      </c>
    </row>
    <row r="263" spans="2:8" x14ac:dyDescent="0.2">
      <c r="B263" s="4" t="str">
        <f>PROPER(Sheet1!$B263&amp;" "&amp;"Tea Factory")</f>
        <v>Mocha Tea Factory</v>
      </c>
      <c r="F263" s="4" t="str">
        <f>Sheet1!G263</f>
        <v>Gouravilla Upcot</v>
      </c>
      <c r="G263" s="4" t="str">
        <f>Sheet1!J263</f>
        <v>Mocha EstateMaskeliya</v>
      </c>
      <c r="H263" s="5" t="str">
        <f t="shared" si="1"/>
        <v xml:space="preserve"> View Map </v>
      </c>
    </row>
    <row r="264" spans="2:8" x14ac:dyDescent="0.2">
      <c r="B264" s="4" t="str">
        <f>PROPER(Sheet1!$B264&amp;" "&amp;"Tea Factory")</f>
        <v>Glentilt Estate Tea Factory</v>
      </c>
      <c r="F264" s="4">
        <f>Sheet1!G264</f>
        <v>0</v>
      </c>
      <c r="G264" s="4" t="str">
        <f>Sheet1!J264</f>
        <v>Glentilt EstateMaskeliya</v>
      </c>
      <c r="H264" s="5" t="str">
        <f t="shared" si="1"/>
        <v xml:space="preserve"> View Map </v>
      </c>
    </row>
    <row r="265" spans="2:8" x14ac:dyDescent="0.2">
      <c r="B265" s="4" t="str">
        <f>PROPER(Sheet1!$B265&amp;" "&amp;"Tea Factory")</f>
        <v>Wootton Tea Factory</v>
      </c>
      <c r="F265" s="4" t="str">
        <f>Sheet1!G265</f>
        <v>Kotagala</v>
      </c>
      <c r="G265" s="4" t="str">
        <f>Sheet1!J265</f>
        <v>Wootton Estate,Kotagala.</v>
      </c>
      <c r="H265" s="5" t="str">
        <f t="shared" si="1"/>
        <v xml:space="preserve"> View Map </v>
      </c>
    </row>
    <row r="266" spans="2:8" x14ac:dyDescent="0.2">
      <c r="B266" s="4" t="str">
        <f>PROPER(Sheet1!$B266&amp;" "&amp;"Tea Factory")</f>
        <v>Sheen Tea Factory</v>
      </c>
      <c r="F266" s="4">
        <f>Sheet1!G266</f>
        <v>0</v>
      </c>
      <c r="G266" s="4" t="str">
        <f>Sheet1!J266</f>
        <v>Sheen Estate</v>
      </c>
      <c r="H266" s="5" t="str">
        <f t="shared" si="1"/>
        <v xml:space="preserve"> View Map </v>
      </c>
    </row>
    <row r="267" spans="2:8" x14ac:dyDescent="0.2">
      <c r="B267" s="4" t="str">
        <f>PROPER(Sheet1!$B267&amp;" "&amp;"Tea Factory")</f>
        <v>Deeside Tea Factory</v>
      </c>
      <c r="F267" s="4">
        <f>Sheet1!G267</f>
        <v>0</v>
      </c>
      <c r="G267" s="4" t="str">
        <f>Sheet1!J267</f>
        <v>Glenugie Estate</v>
      </c>
      <c r="H267" s="5" t="str">
        <f t="shared" si="1"/>
        <v xml:space="preserve"> View Map </v>
      </c>
    </row>
    <row r="268" spans="2:8" x14ac:dyDescent="0.2">
      <c r="B268" s="4" t="str">
        <f>PROPER(Sheet1!$B268&amp;" "&amp;"Tea Factory")</f>
        <v>Morawaka Tea Factory</v>
      </c>
      <c r="F268" s="4">
        <f>Sheet1!G268</f>
        <v>0</v>
      </c>
      <c r="G268" s="4" t="str">
        <f>Sheet1!J268</f>
        <v>Morawaka Estate,Weliwa,Morawaka.</v>
      </c>
      <c r="H268" s="5" t="str">
        <f t="shared" si="1"/>
        <v xml:space="preserve"> View Map </v>
      </c>
    </row>
    <row r="269" spans="2:8" x14ac:dyDescent="0.2">
      <c r="B269" s="4" t="str">
        <f>PROPER(Sheet1!$B269&amp;" "&amp;"Tea Factory")</f>
        <v>New Roseland  Tea Factory</v>
      </c>
      <c r="F269" s="4">
        <f>Sheet1!G269</f>
        <v>0</v>
      </c>
      <c r="G269" s="4" t="str">
        <f>Sheet1!J269</f>
        <v>AmbadandegamaBandarawela</v>
      </c>
      <c r="H269" s="5" t="str">
        <f t="shared" si="1"/>
        <v xml:space="preserve"> View Map </v>
      </c>
    </row>
    <row r="270" spans="2:8" x14ac:dyDescent="0.2">
      <c r="B270" s="4" t="str">
        <f>PROPER(Sheet1!$B270&amp;" "&amp;"Tea Factory")</f>
        <v>Kahatapitiya Tea Factory</v>
      </c>
      <c r="F270" s="4">
        <f>Sheet1!G270</f>
        <v>0</v>
      </c>
      <c r="G270" s="4" t="str">
        <f>Sheet1!J270</f>
        <v>Kahatapitiya,Batapola.</v>
      </c>
      <c r="H270" s="5" t="str">
        <f t="shared" si="1"/>
        <v xml:space="preserve"> View Map </v>
      </c>
    </row>
    <row r="271" spans="2:8" x14ac:dyDescent="0.2">
      <c r="B271" s="4" t="str">
        <f>PROPER(Sheet1!$B271&amp;" "&amp;"Tea Factory")</f>
        <v>St Peters  Tea Factory</v>
      </c>
      <c r="F271" s="4">
        <f>Sheet1!G271</f>
        <v>0</v>
      </c>
      <c r="G271" s="4" t="str">
        <f>Sheet1!J271</f>
        <v>Maha IngiriyaIngiriya</v>
      </c>
      <c r="H271" s="5" t="str">
        <f t="shared" si="1"/>
        <v xml:space="preserve"> View Map </v>
      </c>
    </row>
    <row r="272" spans="2:8" x14ac:dyDescent="0.2">
      <c r="B272" s="4" t="str">
        <f>PROPER(Sheet1!$B272&amp;" "&amp;"Tea Factory")</f>
        <v>Le Vallon Tea Factory</v>
      </c>
      <c r="F272" s="4">
        <f>Sheet1!G272</f>
        <v>0</v>
      </c>
      <c r="G272" s="4" t="str">
        <f>Sheet1!J272</f>
        <v>Levallon GroupPupuressa</v>
      </c>
      <c r="H272" s="5" t="str">
        <f t="shared" si="1"/>
        <v xml:space="preserve"> View Map </v>
      </c>
    </row>
    <row r="273" spans="2:8" x14ac:dyDescent="0.2">
      <c r="B273" s="4" t="str">
        <f>PROPER(Sheet1!$B273&amp;" "&amp;"Tea Factory")</f>
        <v>Meerakelle Tea Factory</v>
      </c>
      <c r="F273" s="4" t="str">
        <f>Sheet1!G273</f>
        <v>NULL</v>
      </c>
      <c r="G273" s="4">
        <f>Sheet1!J273</f>
        <v>0</v>
      </c>
      <c r="H273" s="5" t="str">
        <f t="shared" si="1"/>
        <v xml:space="preserve"> View Map </v>
      </c>
    </row>
    <row r="274" spans="2:8" x14ac:dyDescent="0.2">
      <c r="B274" s="4" t="str">
        <f>PROPER(Sheet1!$B274&amp;" "&amp;"Tea Factory")</f>
        <v>Ranmudhu Ella Tea Factory</v>
      </c>
      <c r="F274" s="4">
        <f>Sheet1!G274</f>
        <v>0</v>
      </c>
      <c r="G274" s="4" t="str">
        <f>Sheet1!J274</f>
        <v>Denagama Estate,Balangoda</v>
      </c>
      <c r="H274" s="5" t="str">
        <f t="shared" si="1"/>
        <v xml:space="preserve"> View Map </v>
      </c>
    </row>
    <row r="275" spans="2:8" x14ac:dyDescent="0.2">
      <c r="B275" s="4" t="str">
        <f>PROPER(Sheet1!$B275&amp;" "&amp;"Tea Factory")</f>
        <v>Bogahawatte Tea Factory</v>
      </c>
      <c r="F275" s="4">
        <f>Sheet1!G275</f>
        <v>0</v>
      </c>
      <c r="G275" s="4" t="str">
        <f>Sheet1!J275</f>
        <v>Bogahawatta Estate</v>
      </c>
      <c r="H275" s="5" t="str">
        <f t="shared" si="1"/>
        <v xml:space="preserve"> View Map </v>
      </c>
    </row>
    <row r="276" spans="2:8" x14ac:dyDescent="0.2">
      <c r="B276" s="4" t="str">
        <f>PROPER(Sheet1!$B276&amp;" "&amp;"Tea Factory")</f>
        <v>Agrakande Tea Factory</v>
      </c>
      <c r="F276" s="4">
        <f>Sheet1!G276</f>
        <v>0</v>
      </c>
      <c r="G276" s="4" t="str">
        <f>Sheet1!J276</f>
        <v>Agrakande EstateAgarapathanaNuwara Eliya</v>
      </c>
      <c r="H276" s="5" t="str">
        <f t="shared" si="1"/>
        <v xml:space="preserve"> View Map </v>
      </c>
    </row>
    <row r="277" spans="2:8" x14ac:dyDescent="0.2">
      <c r="B277" s="4" t="str">
        <f>PROPER(Sheet1!$B277&amp;" "&amp;"Tea Factory")</f>
        <v>Springwood Tea Factory</v>
      </c>
      <c r="F277" s="4">
        <f>Sheet1!G277</f>
        <v>0</v>
      </c>
      <c r="G277" s="4" t="str">
        <f>Sheet1!J277</f>
        <v>Springwood EstateRakwana</v>
      </c>
      <c r="H277" s="5" t="str">
        <f t="shared" si="1"/>
        <v xml:space="preserve"> View Map </v>
      </c>
    </row>
    <row r="278" spans="2:8" x14ac:dyDescent="0.2">
      <c r="B278" s="4" t="str">
        <f>PROPER(Sheet1!$B278&amp;" "&amp;"Tea Factory")</f>
        <v>Kenilworth Tea Factory</v>
      </c>
      <c r="F278" s="4">
        <f>Sheet1!G278</f>
        <v>0</v>
      </c>
      <c r="G278" s="4" t="str">
        <f>Sheet1!J278</f>
        <v>Kenilworth EstateGinigathhena</v>
      </c>
      <c r="H278" s="5" t="str">
        <f t="shared" si="1"/>
        <v xml:space="preserve"> View Map </v>
      </c>
    </row>
    <row r="279" spans="2:8" x14ac:dyDescent="0.2">
      <c r="B279" s="4" t="str">
        <f>PROPER(Sheet1!$B279&amp;" "&amp;"Tea Factory")</f>
        <v>Wanarajah  Tea Factory</v>
      </c>
      <c r="F279" s="4">
        <f>Sheet1!G279</f>
        <v>0</v>
      </c>
      <c r="G279" s="4" t="str">
        <f>Sheet1!J279</f>
        <v>Wanarajah GroupDickoya</v>
      </c>
      <c r="H279" s="5" t="str">
        <f t="shared" si="1"/>
        <v xml:space="preserve"> View Map </v>
      </c>
    </row>
    <row r="280" spans="2:8" x14ac:dyDescent="0.2">
      <c r="B280" s="4" t="str">
        <f>PROPER(Sheet1!$B280&amp;" "&amp;"Tea Factory")</f>
        <v>Mossville Tea Factory</v>
      </c>
      <c r="F280" s="4" t="str">
        <f>Sheet1!G280</f>
        <v>Alugolla</v>
      </c>
      <c r="G280" s="4" t="str">
        <f>Sheet1!J280</f>
        <v>Mossville EstateDolosbage</v>
      </c>
      <c r="H280" s="5" t="str">
        <f t="shared" si="1"/>
        <v xml:space="preserve"> View Map </v>
      </c>
    </row>
    <row r="281" spans="2:8" x14ac:dyDescent="0.2">
      <c r="B281" s="4" t="str">
        <f>PROPER(Sheet1!$B281&amp;" "&amp;"Tea Factory")</f>
        <v>Monte Cristo Tea Factory</v>
      </c>
      <c r="F281" s="4" t="str">
        <f>Sheet1!G281</f>
        <v>Gonawala pathala</v>
      </c>
      <c r="G281" s="4" t="str">
        <f>Sheet1!J281</f>
        <v>Monte Cristo Estate,Nawalapitiya.</v>
      </c>
      <c r="H281" s="5" t="str">
        <f t="shared" si="1"/>
        <v xml:space="preserve"> View Map </v>
      </c>
    </row>
    <row r="282" spans="2:8" x14ac:dyDescent="0.2">
      <c r="B282" s="4" t="str">
        <f>PROPER(Sheet1!$B282&amp;" "&amp;"Tea Factory")</f>
        <v>Mousakellie Tea Factory</v>
      </c>
      <c r="F282" s="4">
        <f>Sheet1!G282</f>
        <v>0</v>
      </c>
      <c r="G282" s="4" t="str">
        <f>Sheet1!J282</f>
        <v>Mousakelle EstateMaskeliya</v>
      </c>
      <c r="H282" s="5" t="str">
        <f t="shared" si="1"/>
        <v xml:space="preserve"> View Map </v>
      </c>
    </row>
    <row r="283" spans="2:8" x14ac:dyDescent="0.2">
      <c r="B283" s="4" t="str">
        <f>PROPER(Sheet1!$B283&amp;" "&amp;"Tea Factory")</f>
        <v>Galphele Tea Factory</v>
      </c>
      <c r="F283" s="4">
        <f>Sheet1!G283</f>
        <v>0</v>
      </c>
      <c r="G283" s="4" t="str">
        <f>Sheet1!J283</f>
        <v>Galphelle EstatePanvila</v>
      </c>
      <c r="H283" s="5" t="str">
        <f t="shared" si="1"/>
        <v xml:space="preserve"> View Map </v>
      </c>
    </row>
    <row r="284" spans="2:8" x14ac:dyDescent="0.2">
      <c r="B284" s="4" t="str">
        <f>PROPER(Sheet1!$B284&amp;" "&amp;"Tea Factory")</f>
        <v>Cooroondoowatte Tea Factory</v>
      </c>
      <c r="F284" s="4" t="str">
        <f>Sheet1!G284</f>
        <v>Pellapitiya</v>
      </c>
      <c r="G284" s="4" t="str">
        <f>Sheet1!J284</f>
        <v>Cooroonduwatte EstateKurunduwatte Bazaar,Via Gampola.</v>
      </c>
      <c r="H284" s="5" t="str">
        <f t="shared" si="1"/>
        <v xml:space="preserve"> View Map </v>
      </c>
    </row>
    <row r="285" spans="2:8" x14ac:dyDescent="0.2">
      <c r="B285" s="4" t="str">
        <f>PROPER(Sheet1!$B285&amp;" "&amp;"Tea Factory")</f>
        <v>Galboda Tea Factory</v>
      </c>
      <c r="F285" s="4" t="str">
        <f>Sheet1!G285</f>
        <v>Tawalantenna</v>
      </c>
      <c r="G285" s="4" t="str">
        <f>Sheet1!J285</f>
        <v>Galaboda Estate,Tawalantenna.</v>
      </c>
      <c r="H285" s="5" t="str">
        <f t="shared" si="1"/>
        <v xml:space="preserve"> View Map </v>
      </c>
    </row>
    <row r="286" spans="2:8" x14ac:dyDescent="0.2">
      <c r="B286" s="4" t="str">
        <f>PROPER(Sheet1!$B286&amp;" "&amp;"Tea Factory")</f>
        <v>Bambrakelly Group Tea Factory</v>
      </c>
      <c r="F286" s="4">
        <f>Sheet1!G286</f>
        <v>0</v>
      </c>
      <c r="G286" s="4" t="str">
        <f>Sheet1!J286</f>
        <v>Bambarakelley GroupBambarakelley Estate,Lindula.</v>
      </c>
      <c r="H286" s="5" t="str">
        <f t="shared" si="1"/>
        <v xml:space="preserve"> View Map </v>
      </c>
    </row>
    <row r="287" spans="2:8" x14ac:dyDescent="0.2">
      <c r="B287" s="4" t="str">
        <f>PROPER(Sheet1!$B287&amp;" "&amp;"Tea Factory")</f>
        <v>Dessford Tea Factory</v>
      </c>
      <c r="F287" s="4" t="str">
        <f>Sheet1!G287</f>
        <v>Nanu Oya</v>
      </c>
      <c r="G287" s="4" t="str">
        <f>Sheet1!J287</f>
        <v>Dessford Estate</v>
      </c>
      <c r="H287" s="5" t="str">
        <f t="shared" si="1"/>
        <v xml:space="preserve"> View Map </v>
      </c>
    </row>
    <row r="288" spans="2:8" x14ac:dyDescent="0.2">
      <c r="B288" s="4" t="str">
        <f>PROPER(Sheet1!$B288&amp;" "&amp;"Tea Factory")</f>
        <v>Galoola  Tea Factory</v>
      </c>
      <c r="F288" s="4">
        <f>Sheet1!G288</f>
        <v>0</v>
      </c>
      <c r="G288" s="4" t="str">
        <f>Sheet1!J288</f>
        <v>Galloola EstateMadulsima</v>
      </c>
      <c r="H288" s="5" t="str">
        <f t="shared" si="1"/>
        <v xml:space="preserve"> View Map </v>
      </c>
    </row>
    <row r="289" spans="2:8" x14ac:dyDescent="0.2">
      <c r="B289" s="4" t="str">
        <f>PROPER(Sheet1!$B289&amp;" "&amp;"Tea Factory")</f>
        <v>Hoptan  Tea Factory</v>
      </c>
      <c r="F289" s="4">
        <f>Sheet1!G289</f>
        <v>0</v>
      </c>
      <c r="G289" s="4" t="str">
        <f>Sheet1!J289</f>
        <v>LunugalaBadulla</v>
      </c>
      <c r="H289" s="5" t="str">
        <f t="shared" si="1"/>
        <v xml:space="preserve"> View Map </v>
      </c>
    </row>
    <row r="290" spans="2:8" x14ac:dyDescent="0.2">
      <c r="B290" s="4" t="str">
        <f>PROPER(Sheet1!$B290&amp;" "&amp;"Tea Factory")</f>
        <v>Rookatenne  Tea Factory</v>
      </c>
      <c r="F290" s="4" t="str">
        <f>Sheet1!G290</f>
        <v>Oodoowerre</v>
      </c>
      <c r="G290" s="4" t="str">
        <f>Sheet1!J290</f>
        <v>Rookatenna GroupHali ElaBadulla</v>
      </c>
      <c r="H290" s="5" t="str">
        <f t="shared" si="1"/>
        <v xml:space="preserve"> View Map </v>
      </c>
    </row>
    <row r="291" spans="2:8" x14ac:dyDescent="0.2">
      <c r="B291" s="4" t="str">
        <f>PROPER(Sheet1!$B291&amp;" "&amp;"Tea Factory")</f>
        <v>Sapumalkande  Tea Factory</v>
      </c>
      <c r="F291" s="4">
        <f>Sheet1!G291</f>
        <v>0</v>
      </c>
      <c r="G291" s="4" t="str">
        <f>Sheet1!J291</f>
        <v>Miyanawita Estate</v>
      </c>
      <c r="H291" s="5" t="str">
        <f t="shared" si="1"/>
        <v xml:space="preserve"> View Map </v>
      </c>
    </row>
    <row r="292" spans="2:8" x14ac:dyDescent="0.2">
      <c r="B292" s="4" t="str">
        <f>PROPER(Sheet1!$B292&amp;" "&amp;"Tea Factory")</f>
        <v>Waldemar Tea Factory</v>
      </c>
      <c r="F292" s="4" t="str">
        <f>Sheet1!G292</f>
        <v>Gomalli</v>
      </c>
      <c r="G292" s="4" t="str">
        <f>Sheet1!J292</f>
        <v>Waldemar Estate,Udapussellawa.</v>
      </c>
      <c r="H292" s="5" t="str">
        <f t="shared" si="1"/>
        <v xml:space="preserve"> View Map </v>
      </c>
    </row>
    <row r="293" spans="2:8" x14ac:dyDescent="0.2">
      <c r="B293" s="4" t="str">
        <f>PROPER(Sheet1!$B293&amp;" "&amp;"Tea Factory")</f>
        <v>Rookwood Tea Factory</v>
      </c>
      <c r="F293" s="4">
        <f>Sheet1!G293</f>
        <v>0</v>
      </c>
      <c r="G293" s="4">
        <f>Sheet1!J293</f>
        <v>0</v>
      </c>
      <c r="H293" s="5" t="str">
        <f t="shared" si="1"/>
        <v xml:space="preserve"> View Map </v>
      </c>
    </row>
    <row r="294" spans="2:8" x14ac:dyDescent="0.2">
      <c r="B294" s="4" t="str">
        <f>PROPER(Sheet1!$B294&amp;" "&amp;"Tea Factory")</f>
        <v>Attampettia  Tea Factory</v>
      </c>
      <c r="F294" s="4">
        <f>Sheet1!G294</f>
        <v>0</v>
      </c>
      <c r="G294" s="4" t="str">
        <f>Sheet1!J294</f>
        <v>Hali EllaBandarawela</v>
      </c>
      <c r="H294" s="5" t="str">
        <f t="shared" si="1"/>
        <v xml:space="preserve"> View Map </v>
      </c>
    </row>
    <row r="295" spans="2:8" x14ac:dyDescent="0.2">
      <c r="B295" s="4" t="str">
        <f>PROPER(Sheet1!$B295&amp;" "&amp;"Tea Factory")</f>
        <v>Aislaby  Tea Factory</v>
      </c>
      <c r="F295" s="4">
        <f>Sheet1!G295</f>
        <v>0</v>
      </c>
      <c r="G295" s="4" t="str">
        <f>Sheet1!J295</f>
        <v>Aislaby  Estate, Bandarawela</v>
      </c>
      <c r="H295" s="5" t="str">
        <f t="shared" si="1"/>
        <v xml:space="preserve"> View Map </v>
      </c>
    </row>
    <row r="296" spans="2:8" x14ac:dyDescent="0.2">
      <c r="B296" s="4" t="str">
        <f>PROPER(Sheet1!$B296&amp;" "&amp;"Tea Factory")</f>
        <v>Craigforest Tea Factory</v>
      </c>
      <c r="F296" s="4">
        <f>Sheet1!G296</f>
        <v>0</v>
      </c>
      <c r="G296" s="4">
        <f>Sheet1!J296</f>
        <v>0</v>
      </c>
      <c r="H296" s="5" t="str">
        <f t="shared" si="1"/>
        <v xml:space="preserve"> View Map </v>
      </c>
    </row>
    <row r="297" spans="2:8" x14ac:dyDescent="0.2">
      <c r="B297" s="4" t="str">
        <f>PROPER(Sheet1!$B297&amp;" "&amp;"Tea Factory")</f>
        <v>Fairlawn Tea Factory</v>
      </c>
      <c r="F297" s="4">
        <f>Sheet1!G297</f>
        <v>0</v>
      </c>
      <c r="G297" s="4" t="str">
        <f>Sheet1!J297</f>
        <v>Fairlawn EstateMinicing LaneUpcot</v>
      </c>
      <c r="H297" s="5" t="str">
        <f t="shared" si="1"/>
        <v xml:space="preserve"> View Map </v>
      </c>
    </row>
    <row r="298" spans="2:8" x14ac:dyDescent="0.2">
      <c r="B298" s="4" t="str">
        <f>PROPER(Sheet1!$B298&amp;" "&amp;"Tea Factory")</f>
        <v>New Burgh Green Tea Tea Factory</v>
      </c>
      <c r="F298" s="4" t="str">
        <f>Sheet1!G298</f>
        <v>Yahalatenna</v>
      </c>
      <c r="G298" s="4" t="str">
        <f>Sheet1!J298</f>
        <v>Ella.Badulla</v>
      </c>
      <c r="H298" s="5" t="str">
        <f t="shared" si="1"/>
        <v xml:space="preserve"> View Map </v>
      </c>
    </row>
    <row r="299" spans="2:8" x14ac:dyDescent="0.2">
      <c r="B299" s="4" t="str">
        <f>PROPER(Sheet1!$B299&amp;" "&amp;"Tea Factory")</f>
        <v>Queenstown  Tea Factory</v>
      </c>
      <c r="F299" s="4">
        <f>Sheet1!G299</f>
        <v>0</v>
      </c>
      <c r="G299" s="4" t="str">
        <f>Sheet1!J299</f>
        <v>Hali Ella</v>
      </c>
      <c r="H299" s="5" t="str">
        <f t="shared" si="1"/>
        <v xml:space="preserve"> View Map </v>
      </c>
    </row>
    <row r="300" spans="2:8" x14ac:dyDescent="0.2">
      <c r="B300" s="4" t="str">
        <f>PROPER(Sheet1!$B300&amp;" "&amp;"Tea Factory")</f>
        <v>Boscombe  Tea Factory</v>
      </c>
      <c r="F300" s="4" t="str">
        <f>Sheet1!G300</f>
        <v>Miriswatta</v>
      </c>
      <c r="G300" s="4" t="str">
        <f>Sheet1!J300</f>
        <v>Miriswatta,Balangoda.</v>
      </c>
      <c r="H300" s="5" t="str">
        <f t="shared" si="1"/>
        <v xml:space="preserve"> View Map </v>
      </c>
    </row>
    <row r="301" spans="2:8" x14ac:dyDescent="0.2">
      <c r="B301" s="4" t="str">
        <f>PROPER(Sheet1!$B301&amp;" "&amp;"Tea Factory")</f>
        <v>Dickoya Tea Factory</v>
      </c>
      <c r="F301" s="4">
        <f>Sheet1!G301</f>
        <v>0</v>
      </c>
      <c r="G301" s="4" t="str">
        <f>Sheet1!J301</f>
        <v>Dickoya EstateDick Oya</v>
      </c>
      <c r="H301" s="5" t="str">
        <f t="shared" si="1"/>
        <v xml:space="preserve"> View Map </v>
      </c>
    </row>
    <row r="302" spans="2:8" x14ac:dyDescent="0.2">
      <c r="B302" s="4" t="str">
        <f>PROPER(Sheet1!$B302&amp;" "&amp;"Tea Factory")</f>
        <v>Adawatte  Tea Factory</v>
      </c>
      <c r="F302" s="4">
        <f>Sheet1!G302</f>
        <v>0</v>
      </c>
      <c r="G302" s="4" t="str">
        <f>Sheet1!J302</f>
        <v>LunugalaBadulla</v>
      </c>
      <c r="H302" s="5" t="str">
        <f t="shared" si="1"/>
        <v xml:space="preserve"> View Map </v>
      </c>
    </row>
    <row r="303" spans="2:8" x14ac:dyDescent="0.2">
      <c r="B303" s="4" t="str">
        <f>PROPER(Sheet1!$B303&amp;" "&amp;"Tea Factory")</f>
        <v>Kataboola Tea Factory</v>
      </c>
      <c r="F303" s="4">
        <f>Sheet1!G303</f>
        <v>0</v>
      </c>
      <c r="G303" s="4" t="str">
        <f>Sheet1!J303</f>
        <v>Kataboola EstateKataboola</v>
      </c>
      <c r="H303" s="5" t="str">
        <f t="shared" si="1"/>
        <v xml:space="preserve"> View Map </v>
      </c>
    </row>
    <row r="304" spans="2:8" x14ac:dyDescent="0.2">
      <c r="B304" s="4" t="str">
        <f>PROPER(Sheet1!$B304&amp;" "&amp;"Tea Factory")</f>
        <v>Shawlands  Tea Factory</v>
      </c>
      <c r="F304" s="4" t="str">
        <f>Sheet1!G304</f>
        <v>Lunugalla</v>
      </c>
      <c r="G304" s="4" t="str">
        <f>Sheet1!J304</f>
        <v>Showlands Tea FactoryLunugala</v>
      </c>
      <c r="H304" s="5" t="str">
        <f t="shared" si="1"/>
        <v xml:space="preserve"> View Map </v>
      </c>
    </row>
    <row r="305" spans="2:8" x14ac:dyDescent="0.2">
      <c r="B305" s="4" t="str">
        <f>PROPER(Sheet1!$B305&amp;" "&amp;"Tea Factory")</f>
        <v>Alupola  Tea Factory</v>
      </c>
      <c r="F305" s="4">
        <f>Sheet1!G305</f>
        <v>0</v>
      </c>
      <c r="G305" s="4" t="str">
        <f>Sheet1!J305</f>
        <v>Alupola EstateWewelwatte,Via Ratnapura.</v>
      </c>
      <c r="H305" s="5" t="str">
        <f t="shared" si="1"/>
        <v xml:space="preserve"> View Map </v>
      </c>
    </row>
    <row r="306" spans="2:8" x14ac:dyDescent="0.2">
      <c r="B306" s="4" t="str">
        <f>PROPER(Sheet1!$B306&amp;" "&amp;"Tea Factory")</f>
        <v>Delta Tea Factory</v>
      </c>
      <c r="F306" s="4">
        <f>Sheet1!G306</f>
        <v>0</v>
      </c>
      <c r="G306" s="4" t="str">
        <f>Sheet1!J306</f>
        <v>Delta EstatePupuressa.</v>
      </c>
      <c r="H306" s="5" t="str">
        <f t="shared" si="1"/>
        <v xml:space="preserve"> View Map </v>
      </c>
    </row>
    <row r="307" spans="2:8" x14ac:dyDescent="0.2">
      <c r="B307" s="4" t="str">
        <f>PROPER(Sheet1!$B307&amp;" "&amp;"Tea Factory")</f>
        <v>Aratanne Tea Factory</v>
      </c>
      <c r="F307" s="4" t="str">
        <f>Sheet1!G307</f>
        <v>Arathana</v>
      </c>
      <c r="G307" s="4" t="str">
        <f>Sheet1!J307</f>
        <v>Arathanne Estate,Madukele.</v>
      </c>
      <c r="H307" s="5" t="str">
        <f t="shared" si="1"/>
        <v xml:space="preserve"> View Map </v>
      </c>
    </row>
    <row r="308" spans="2:8" x14ac:dyDescent="0.2">
      <c r="B308" s="4" t="str">
        <f>PROPER(Sheet1!$B308&amp;" "&amp;"Tea Factory")</f>
        <v>Loolecondera Group Tea Factory</v>
      </c>
      <c r="F308" s="4">
        <f>Sheet1!G308</f>
        <v>0</v>
      </c>
      <c r="G308" s="4" t="str">
        <f>Sheet1!J308</f>
        <v>Loolcondra GroupDeltota</v>
      </c>
      <c r="H308" s="5" t="str">
        <f t="shared" si="1"/>
        <v xml:space="preserve"> View Map </v>
      </c>
    </row>
    <row r="309" spans="2:8" x14ac:dyDescent="0.2">
      <c r="B309" s="4" t="str">
        <f>PROPER(Sheet1!$B309&amp;" "&amp;"Tea Factory")</f>
        <v>Niriella Tea Factory</v>
      </c>
      <c r="F309" s="4">
        <f>Sheet1!G309</f>
        <v>0</v>
      </c>
      <c r="G309" s="4">
        <f>Sheet1!J309</f>
        <v>0</v>
      </c>
      <c r="H309" s="5" t="str">
        <f t="shared" si="1"/>
        <v xml:space="preserve"> View Map </v>
      </c>
    </row>
    <row r="310" spans="2:8" x14ac:dyDescent="0.2">
      <c r="B310" s="4" t="str">
        <f>PROPER(Sheet1!$B310&amp;" "&amp;"Tea Factory")</f>
        <v>Nilloomalle Tea Factory</v>
      </c>
      <c r="F310" s="4">
        <f>Sheet1!G310</f>
        <v>0</v>
      </c>
      <c r="G310" s="4" t="str">
        <f>Sheet1!J310</f>
        <v>MADULKELLEKELEBOKKAPANWILAKANDY</v>
      </c>
      <c r="H310" s="5" t="str">
        <f t="shared" si="1"/>
        <v xml:space="preserve"> View Map </v>
      </c>
    </row>
    <row r="311" spans="2:8" x14ac:dyDescent="0.2">
      <c r="B311" s="4" t="str">
        <f>PROPER(Sheet1!$B311&amp;" "&amp;"Tea Factory")</f>
        <v>Stellenberg Tea Factory</v>
      </c>
      <c r="F311" s="4">
        <f>Sheet1!G311</f>
        <v>0</v>
      </c>
      <c r="G311" s="4" t="str">
        <f>Sheet1!J311</f>
        <v>Stellenberg Estate,  Pupuressa</v>
      </c>
      <c r="H311" s="5" t="str">
        <f t="shared" si="1"/>
        <v xml:space="preserve"> View Map </v>
      </c>
    </row>
    <row r="312" spans="2:8" x14ac:dyDescent="0.2">
      <c r="B312" s="4" t="str">
        <f>PROPER(Sheet1!$B312&amp;" "&amp;"Tea Factory")</f>
        <v>Craighead Tea Factory</v>
      </c>
      <c r="F312" s="4" t="str">
        <f>Sheet1!G312</f>
        <v>Udahentenna</v>
      </c>
      <c r="G312" s="4" t="str">
        <f>Sheet1!J312</f>
        <v>Craighead EstateNawalapitiya</v>
      </c>
      <c r="H312" s="5" t="str">
        <f t="shared" si="1"/>
        <v xml:space="preserve"> View Map </v>
      </c>
    </row>
    <row r="313" spans="2:8" x14ac:dyDescent="0.2">
      <c r="B313" s="4" t="str">
        <f>PROPER(Sheet1!$B313&amp;" "&amp;"Tea Factory")</f>
        <v>Ouvahkellie Tea Factory</v>
      </c>
      <c r="F313" s="4" t="str">
        <f>Sheet1!G313</f>
        <v>Maria</v>
      </c>
      <c r="G313" s="4" t="str">
        <f>Sheet1!J313</f>
        <v>Ouvahkellie EstateAgarapathana</v>
      </c>
      <c r="H313" s="5" t="str">
        <f t="shared" si="1"/>
        <v xml:space="preserve"> View Map </v>
      </c>
    </row>
    <row r="314" spans="2:8" x14ac:dyDescent="0.2">
      <c r="B314" s="4" t="str">
        <f>PROPER(Sheet1!$B314&amp;" "&amp;"Tea Factory")</f>
        <v>Kotmale Tea Shakthi Tea Factory</v>
      </c>
      <c r="F314" s="4" t="str">
        <f>Sheet1!G314</f>
        <v>Tispane</v>
      </c>
      <c r="G314" s="4" t="str">
        <f>Sheet1!J314</f>
        <v>Nawa tispaneTispane</v>
      </c>
      <c r="H314" s="5" t="str">
        <f t="shared" si="1"/>
        <v xml:space="preserve"> View Map </v>
      </c>
    </row>
    <row r="315" spans="2:8" x14ac:dyDescent="0.2">
      <c r="B315" s="4" t="str">
        <f>PROPER(Sheet1!$B315&amp;" "&amp;"Tea Factory")</f>
        <v>Maturata Tea Factory</v>
      </c>
      <c r="F315" s="4" t="str">
        <f>Sheet1!G315</f>
        <v>Bingantalawa</v>
      </c>
      <c r="G315" s="4" t="str">
        <f>Sheet1!J315</f>
        <v>Maturata Estate,Kandapola.</v>
      </c>
      <c r="H315" s="5" t="str">
        <f t="shared" si="1"/>
        <v xml:space="preserve"> View Map </v>
      </c>
    </row>
    <row r="316" spans="2:8" x14ac:dyDescent="0.2">
      <c r="B316" s="4" t="str">
        <f>PROPER(Sheet1!$B316&amp;" "&amp;"Tea Factory")</f>
        <v>Madampe Tea Factory</v>
      </c>
      <c r="F316" s="4">
        <f>Sheet1!G316</f>
        <v>0</v>
      </c>
      <c r="G316" s="4" t="str">
        <f>Sheet1!J316</f>
        <v>Madampe EstateRakwana</v>
      </c>
      <c r="H316" s="5" t="str">
        <f t="shared" si="1"/>
        <v xml:space="preserve"> View Map </v>
      </c>
    </row>
    <row r="317" spans="2:8" x14ac:dyDescent="0.2">
      <c r="B317" s="4" t="str">
        <f>PROPER(Sheet1!$B317&amp;" "&amp;"Tea Factory")</f>
        <v>Mahaousa Tea Factory</v>
      </c>
      <c r="F317" s="4">
        <f>Sheet1!G317</f>
        <v>0</v>
      </c>
      <c r="G317" s="4" t="str">
        <f>Sheet1!J317</f>
        <v>Mahaousa EstateMadulkelle</v>
      </c>
      <c r="H317" s="5" t="str">
        <f t="shared" si="1"/>
        <v xml:space="preserve"> View Map </v>
      </c>
    </row>
    <row r="318" spans="2:8" x14ac:dyDescent="0.2">
      <c r="B318" s="4" t="str">
        <f>PROPER(Sheet1!$B318&amp;" "&amp;"Tea Factory")</f>
        <v>Dartry Tea Factory</v>
      </c>
      <c r="F318" s="4" t="str">
        <f>Sheet1!G318</f>
        <v>Angammana</v>
      </c>
      <c r="G318" s="4" t="str">
        <f>Sheet1!J318</f>
        <v>Nuwara Eliya Road,Darty Estate, Angammana,Gampola.</v>
      </c>
      <c r="H318" s="5" t="str">
        <f t="shared" si="1"/>
        <v xml:space="preserve"> View Map </v>
      </c>
    </row>
    <row r="319" spans="2:8" x14ac:dyDescent="0.2">
      <c r="B319" s="4" t="str">
        <f>PROPER(Sheet1!$B319&amp;" "&amp;"Tea Factory")</f>
        <v>Poyston  Tea Factory</v>
      </c>
      <c r="F319" s="4">
        <f>Sheet1!G319</f>
        <v>0</v>
      </c>
      <c r="G319" s="4" t="str">
        <f>Sheet1!J319</f>
        <v>Poyston EstateDickoya</v>
      </c>
      <c r="H319" s="5" t="str">
        <f t="shared" si="1"/>
        <v xml:space="preserve"> View Map </v>
      </c>
    </row>
    <row r="320" spans="2:8" x14ac:dyDescent="0.2">
      <c r="B320" s="4" t="str">
        <f>PROPER(Sheet1!$B320&amp;" "&amp;"Tea Factory")</f>
        <v>Yuillefield Tea Factory</v>
      </c>
      <c r="F320" s="4">
        <f>Sheet1!G320</f>
        <v>0</v>
      </c>
      <c r="G320" s="4" t="str">
        <f>Sheet1!J320</f>
        <v>Hatton</v>
      </c>
      <c r="H320" s="5" t="str">
        <f t="shared" si="1"/>
        <v xml:space="preserve"> View Map </v>
      </c>
    </row>
    <row r="321" spans="2:8" x14ac:dyDescent="0.2">
      <c r="B321" s="4" t="str">
        <f>PROPER(Sheet1!$B321&amp;" "&amp;"Tea Factory")</f>
        <v>Galabodda Tea Factory</v>
      </c>
      <c r="F321" s="4">
        <f>Sheet1!G321</f>
        <v>0</v>
      </c>
      <c r="G321" s="4" t="str">
        <f>Sheet1!J321</f>
        <v>Galboda Tea FactoryRatnapura</v>
      </c>
      <c r="H321" s="5" t="str">
        <f t="shared" si="1"/>
        <v xml:space="preserve"> View Map </v>
      </c>
    </row>
    <row r="322" spans="2:8" x14ac:dyDescent="0.2">
      <c r="B322" s="4" t="str">
        <f>PROPER(Sheet1!$B322&amp;" "&amp;"Tea Factory")</f>
        <v>Galathura Tea Factory</v>
      </c>
      <c r="F322" s="4" t="str">
        <f>Sheet1!G322</f>
        <v>Galatara</v>
      </c>
      <c r="G322" s="4" t="str">
        <f>Sheet1!J322</f>
        <v>Meda GalathutaAyagamaRatnapura</v>
      </c>
      <c r="H322" s="5" t="str">
        <f t="shared" si="1"/>
        <v xml:space="preserve"> View Map </v>
      </c>
    </row>
    <row r="323" spans="2:8" x14ac:dyDescent="0.2">
      <c r="B323" s="4" t="str">
        <f>PROPER(Sheet1!$B323&amp;" "&amp;"Tea Factory")</f>
        <v>Warwick  Tea Factory</v>
      </c>
      <c r="F323" s="4" t="str">
        <f>Sheet1!G323</f>
        <v>Ambewela</v>
      </c>
      <c r="G323" s="4" t="str">
        <f>Sheet1!J323</f>
        <v>Ambewela</v>
      </c>
      <c r="H323" s="5" t="str">
        <f t="shared" si="1"/>
        <v xml:space="preserve"> View Map </v>
      </c>
    </row>
    <row r="324" spans="2:8" x14ac:dyDescent="0.2">
      <c r="B324" s="4" t="str">
        <f>PROPER(Sheet1!$B324&amp;" "&amp;"Tea Factory")</f>
        <v>Meddakande Tea Factory</v>
      </c>
      <c r="F324" s="4">
        <f>Sheet1!G324</f>
        <v>0</v>
      </c>
      <c r="G324" s="4" t="str">
        <f>Sheet1!J324</f>
        <v>Maddakanda EstateBalangoda</v>
      </c>
      <c r="H324" s="5" t="str">
        <f t="shared" si="1"/>
        <v xml:space="preserve"> View Map </v>
      </c>
    </row>
    <row r="325" spans="2:8" x14ac:dyDescent="0.2">
      <c r="B325" s="4" t="str">
        <f>PROPER(Sheet1!$B325&amp;" "&amp;"Tea Factory")</f>
        <v>Wikiliya Tea Factory</v>
      </c>
      <c r="F325" s="4">
        <f>Sheet1!G325</f>
        <v>0</v>
      </c>
      <c r="G325" s="4" t="str">
        <f>Sheet1!J325</f>
        <v>Depalamulla,Balangda.</v>
      </c>
      <c r="H325" s="5" t="str">
        <f t="shared" si="1"/>
        <v xml:space="preserve"> View Map </v>
      </c>
    </row>
    <row r="326" spans="2:8" x14ac:dyDescent="0.2">
      <c r="B326" s="4" t="str">
        <f>PROPER(Sheet1!$B326&amp;" "&amp;"Tea Factory")</f>
        <v>New Rasagalla Tea Factory</v>
      </c>
      <c r="F326" s="4">
        <f>Sheet1!G326</f>
        <v>0</v>
      </c>
      <c r="G326" s="4" t="str">
        <f>Sheet1!J326</f>
        <v>Rasgalla EstateBalangoda</v>
      </c>
      <c r="H326" s="5" t="str">
        <f t="shared" si="1"/>
        <v xml:space="preserve"> View Map </v>
      </c>
    </row>
    <row r="327" spans="2:8" x14ac:dyDescent="0.2">
      <c r="B327" s="4" t="str">
        <f>PROPER(Sheet1!$B327&amp;" "&amp;"Tea Factory")</f>
        <v>Halgolle Tea Factory</v>
      </c>
      <c r="F327" s="4">
        <f>Sheet1!G327</f>
        <v>0</v>
      </c>
      <c r="G327" s="4" t="str">
        <f>Sheet1!J327</f>
        <v>Halgolla Estate,Mallalpola,Yatiyantota.</v>
      </c>
      <c r="H327" s="5" t="str">
        <f t="shared" si="1"/>
        <v xml:space="preserve"> View Map </v>
      </c>
    </row>
    <row r="328" spans="2:8" x14ac:dyDescent="0.2">
      <c r="B328" s="4" t="str">
        <f>PROPER(Sheet1!$B328&amp;" "&amp;"Tea Factory")</f>
        <v>Meddagedara Tea Factory</v>
      </c>
      <c r="F328" s="4" t="str">
        <f>Sheet1!G328</f>
        <v>Narawila</v>
      </c>
      <c r="G328" s="4" t="str">
        <f>Sheet1!J328</f>
        <v>Maddegedara Estate,Matugama</v>
      </c>
      <c r="H328" s="5" t="str">
        <f t="shared" si="1"/>
        <v xml:space="preserve"> View Map </v>
      </c>
    </row>
    <row r="329" spans="2:8" x14ac:dyDescent="0.2">
      <c r="B329" s="4" t="str">
        <f>PROPER(Sheet1!$B329&amp;" "&amp;"Tea Factory")</f>
        <v>Deltotte Tea Factory</v>
      </c>
      <c r="F329" s="4">
        <f>Sheet1!G329</f>
        <v>0</v>
      </c>
      <c r="G329" s="4" t="str">
        <f>Sheet1!J329</f>
        <v>Deltota Group</v>
      </c>
      <c r="H329" s="5" t="str">
        <f t="shared" si="1"/>
        <v xml:space="preserve"> View Map </v>
      </c>
    </row>
    <row r="330" spans="2:8" x14ac:dyDescent="0.2">
      <c r="B330" s="4" t="str">
        <f>PROPER(Sheet1!$B330&amp;" "&amp;"Tea Factory")</f>
        <v>Alagalla Tea Factory</v>
      </c>
      <c r="F330" s="4" t="str">
        <f>Sheet1!G330</f>
        <v>Alagalla</v>
      </c>
      <c r="G330" s="4" t="str">
        <f>Sheet1!J330</f>
        <v>Manikdiwela,Poththapitiya.</v>
      </c>
      <c r="H330" s="5" t="str">
        <f t="shared" si="1"/>
        <v xml:space="preserve"> View Map </v>
      </c>
    </row>
    <row r="331" spans="2:8" x14ac:dyDescent="0.2">
      <c r="B331" s="4" t="str">
        <f>PROPER(Sheet1!$B331&amp;" "&amp;"Tea Factory")</f>
        <v>Tonacombe  Tea Factory</v>
      </c>
      <c r="F331" s="4">
        <f>Sheet1!G331</f>
        <v>0</v>
      </c>
      <c r="G331" s="4" t="str">
        <f>Sheet1!J331</f>
        <v>Tonocomb</v>
      </c>
      <c r="H331" s="5" t="str">
        <f t="shared" si="1"/>
        <v xml:space="preserve"> View Map </v>
      </c>
    </row>
    <row r="332" spans="2:8" x14ac:dyDescent="0.2">
      <c r="B332" s="4" t="str">
        <f>PROPER(Sheet1!$B332&amp;" "&amp;"Tea Factory")</f>
        <v>Oodoowere  Tea Factory</v>
      </c>
      <c r="F332" s="4" t="str">
        <f>Sheet1!G332</f>
        <v>Walabedda</v>
      </c>
      <c r="G332" s="4" t="str">
        <f>Sheet1!J332</f>
        <v>Oodoowerre EstateDemodara</v>
      </c>
      <c r="H332" s="5" t="str">
        <f t="shared" si="1"/>
        <v xml:space="preserve"> View Map </v>
      </c>
    </row>
    <row r="333" spans="2:8" x14ac:dyDescent="0.2">
      <c r="B333" s="4" t="str">
        <f>PROPER(Sheet1!$B333&amp;" "&amp;"Tea Factory")</f>
        <v>Oonoogaloya  Tea Factory</v>
      </c>
      <c r="F333" s="4" t="str">
        <f>Sheet1!G333</f>
        <v>Ooonoogaloya</v>
      </c>
      <c r="G333" s="4" t="str">
        <f>Sheet1!J333</f>
        <v>KothmaleNuwara Eliya</v>
      </c>
      <c r="H333" s="5" t="str">
        <f t="shared" si="1"/>
        <v xml:space="preserve"> View Map </v>
      </c>
    </row>
    <row r="334" spans="2:8" x14ac:dyDescent="0.2">
      <c r="B334" s="4" t="str">
        <f>PROPER(Sheet1!$B334&amp;" "&amp;"Tea Factory")</f>
        <v>Broadlands Tea Factory</v>
      </c>
      <c r="F334" s="4" t="str">
        <f>Sheet1!G334</f>
        <v>Pitawala</v>
      </c>
      <c r="G334" s="4" t="str">
        <f>Sheet1!J334</f>
        <v>Brolands estatePitawala</v>
      </c>
      <c r="H334" s="5" t="str">
        <f t="shared" si="1"/>
        <v xml:space="preserve"> View Map </v>
      </c>
    </row>
    <row r="335" spans="2:8" x14ac:dyDescent="0.2">
      <c r="B335" s="4" t="str">
        <f>PROPER(Sheet1!$B335&amp;" "&amp;"Tea Factory")</f>
        <v>Sandringham Tea Factory</v>
      </c>
      <c r="F335" s="4" t="str">
        <f>Sheet1!G335</f>
        <v>Agarapathana</v>
      </c>
      <c r="G335" s="4" t="str">
        <f>Sheet1!J335</f>
        <v>Sandringham EstateAgarapathana</v>
      </c>
      <c r="H335" s="5" t="str">
        <f t="shared" si="1"/>
        <v xml:space="preserve"> View Map </v>
      </c>
    </row>
    <row r="336" spans="2:8" x14ac:dyDescent="0.2">
      <c r="B336" s="4" t="str">
        <f>PROPER(Sheet1!$B336&amp;" "&amp;"Tea Factory")</f>
        <v>Albion Tea Factory</v>
      </c>
      <c r="F336" s="4" t="str">
        <f>Sheet1!G336</f>
        <v>Agarapathana</v>
      </c>
      <c r="G336" s="4" t="str">
        <f>Sheet1!J336</f>
        <v>Albion Estate Agarapatana</v>
      </c>
      <c r="H336" s="5" t="str">
        <f t="shared" si="1"/>
        <v xml:space="preserve"> View Map </v>
      </c>
    </row>
    <row r="337" spans="2:8" x14ac:dyDescent="0.2">
      <c r="B337" s="4" t="str">
        <f>PROPER(Sheet1!$B337&amp;" "&amp;"Tea Factory")</f>
        <v>Torrington  Tea Factory</v>
      </c>
      <c r="F337" s="4">
        <f>Sheet1!G337</f>
        <v>0</v>
      </c>
      <c r="G337" s="4" t="str">
        <f>Sheet1!J337</f>
        <v>Torrington Estate Agra Pathana</v>
      </c>
      <c r="H337" s="5" t="str">
        <f t="shared" si="1"/>
        <v xml:space="preserve"> View Map </v>
      </c>
    </row>
    <row r="338" spans="2:8" x14ac:dyDescent="0.2">
      <c r="B338" s="4" t="str">
        <f>PROPER(Sheet1!$B338&amp;" "&amp;"Tea Factory")</f>
        <v>Uda Radella Tea Factory</v>
      </c>
      <c r="F338" s="4">
        <f>Sheet1!G338</f>
        <v>0</v>
      </c>
      <c r="G338" s="4" t="str">
        <f>Sheet1!J338</f>
        <v>Uda Radella EstateNanu Oya</v>
      </c>
      <c r="H338" s="5" t="str">
        <f t="shared" si="1"/>
        <v xml:space="preserve"> View Map </v>
      </c>
    </row>
    <row r="339" spans="2:8" x14ac:dyDescent="0.2">
      <c r="B339" s="4" t="str">
        <f>PROPER(Sheet1!$B339&amp;" "&amp;"Tea Factory")</f>
        <v>We Oya Tea Factory</v>
      </c>
      <c r="F339" s="4" t="str">
        <f>Sheet1!G339</f>
        <v>Weli Oya</v>
      </c>
      <c r="G339" s="4" t="str">
        <f>Sheet1!J339</f>
        <v>Yatiyantota</v>
      </c>
      <c r="H339" s="5" t="str">
        <f t="shared" si="1"/>
        <v xml:space="preserve"> View Map </v>
      </c>
    </row>
    <row r="340" spans="2:8" x14ac:dyDescent="0.2">
      <c r="B340" s="4" t="str">
        <f>PROPER(Sheet1!$B340&amp;" "&amp;"Tea Factory")</f>
        <v>Baddegama Tea Factory</v>
      </c>
      <c r="F340" s="4">
        <f>Sheet1!G340</f>
        <v>0</v>
      </c>
      <c r="G340" s="4" t="str">
        <f>Sheet1!J340</f>
        <v xml:space="preserve">Baddegama Estate,Baddegama </v>
      </c>
      <c r="H340" s="5" t="str">
        <f t="shared" si="1"/>
        <v xml:space="preserve"> View Map </v>
      </c>
    </row>
    <row r="341" spans="2:8" x14ac:dyDescent="0.2">
      <c r="B341" s="4" t="str">
        <f>PROPER(Sheet1!$B341&amp;" "&amp;"Tea Factory")</f>
        <v>Lower Donside Tea Factory</v>
      </c>
      <c r="F341" s="4" t="str">
        <f>Sheet1!G341</f>
        <v>Malanda</v>
      </c>
      <c r="G341" s="4" t="str">
        <f>Sheet1!J341</f>
        <v>Lower Donside EstateNawalapitiya</v>
      </c>
      <c r="H341" s="5" t="str">
        <f t="shared" si="1"/>
        <v xml:space="preserve"> View Map </v>
      </c>
    </row>
    <row r="342" spans="2:8" x14ac:dyDescent="0.2">
      <c r="B342" s="4" t="str">
        <f>PROPER(Sheet1!$B342&amp;" "&amp;"Tea Factory")</f>
        <v>Madulkelle  Tea Factory</v>
      </c>
      <c r="F342" s="4">
        <f>Sheet1!G342</f>
        <v>0</v>
      </c>
      <c r="G342" s="4" t="str">
        <f>Sheet1!J342</f>
        <v>Madulkelle EstatePanwi;aKandy</v>
      </c>
      <c r="H342" s="5" t="str">
        <f t="shared" si="1"/>
        <v xml:space="preserve"> View Map </v>
      </c>
    </row>
    <row r="343" spans="2:8" x14ac:dyDescent="0.2">
      <c r="B343" s="4" t="str">
        <f>PROPER(Sheet1!$B343&amp;" "&amp;"Tea Factory")</f>
        <v>Pitakande Tea Factory</v>
      </c>
      <c r="F343" s="4">
        <f>Sheet1!G343</f>
        <v>0</v>
      </c>
      <c r="G343" s="4" t="str">
        <f>Sheet1!J343</f>
        <v>Pitakanda Group</v>
      </c>
      <c r="H343" s="5" t="str">
        <f t="shared" si="1"/>
        <v xml:space="preserve"> View Map </v>
      </c>
    </row>
    <row r="344" spans="2:8" x14ac:dyDescent="0.2">
      <c r="B344" s="4" t="str">
        <f>PROPER(Sheet1!$B344&amp;" "&amp;"Tea Factory")</f>
        <v>Rye Tea Factory</v>
      </c>
      <c r="F344" s="4">
        <f>Sheet1!G344</f>
        <v>0</v>
      </c>
      <c r="G344" s="4" t="str">
        <f>Sheet1!J344</f>
        <v>Rye EstateBalangoda</v>
      </c>
      <c r="H344" s="5" t="str">
        <f t="shared" si="1"/>
        <v xml:space="preserve"> View Map </v>
      </c>
    </row>
    <row r="345" spans="2:8" x14ac:dyDescent="0.2">
      <c r="B345" s="4" t="str">
        <f>PROPER(Sheet1!$B345&amp;" "&amp;"Tea Factory")</f>
        <v>Bogawantalawa Tea Factory</v>
      </c>
      <c r="F345" s="4">
        <f>Sheet1!G345</f>
        <v>0</v>
      </c>
      <c r="G345" s="4" t="str">
        <f>Sheet1!J345</f>
        <v>BogawantalawaBogawanthalawa</v>
      </c>
      <c r="H345" s="5" t="str">
        <f t="shared" si="1"/>
        <v xml:space="preserve"> View Map </v>
      </c>
    </row>
    <row r="346" spans="2:8" x14ac:dyDescent="0.2">
      <c r="B346" s="4" t="str">
        <f>PROPER(Sheet1!$B346&amp;" "&amp;"Tea Factory")</f>
        <v>Breamore Tea Factory</v>
      </c>
      <c r="F346" s="4">
        <f>Sheet1!G346</f>
        <v>0</v>
      </c>
      <c r="G346" s="4" t="str">
        <f>Sheet1!J346</f>
        <v>Agarapathana</v>
      </c>
      <c r="H346" s="5" t="str">
        <f t="shared" si="1"/>
        <v xml:space="preserve"> View Map </v>
      </c>
    </row>
    <row r="347" spans="2:8" x14ac:dyDescent="0.2">
      <c r="B347" s="4" t="str">
        <f>PROPER(Sheet1!$B347&amp;" "&amp;"Tea Factory")</f>
        <v>Glen Alpin Group  Tea Factory</v>
      </c>
      <c r="F347" s="4">
        <f>Sheet1!G347</f>
        <v>0</v>
      </c>
      <c r="G347" s="4" t="str">
        <f>Sheet1!J347</f>
        <v>Glen Alpin EstateBadulla</v>
      </c>
      <c r="H347" s="5" t="str">
        <f t="shared" si="1"/>
        <v xml:space="preserve"> View Map </v>
      </c>
    </row>
    <row r="348" spans="2:8" x14ac:dyDescent="0.2">
      <c r="B348" s="4" t="str">
        <f>PROPER(Sheet1!$B348&amp;" "&amp;"Tea Factory")</f>
        <v>Hindagala  Tea Factory</v>
      </c>
      <c r="F348" s="4">
        <f>Sheet1!G348</f>
        <v>0</v>
      </c>
      <c r="G348" s="4" t="str">
        <f>Sheet1!J348</f>
        <v>Hindagalla GroupElla.Namunukula.</v>
      </c>
      <c r="H348" s="5" t="str">
        <f t="shared" si="1"/>
        <v xml:space="preserve"> View Map </v>
      </c>
    </row>
    <row r="349" spans="2:8" x14ac:dyDescent="0.2">
      <c r="B349" s="4" t="str">
        <f>PROPER(Sheet1!$B349&amp;" "&amp;"Tea Factory")</f>
        <v>Ledgerwatte  Tea Factory</v>
      </c>
      <c r="F349" s="4">
        <f>Sheet1!G349</f>
        <v>0</v>
      </c>
      <c r="G349" s="4" t="str">
        <f>Sheet1!J349</f>
        <v>Ledgerwatte GroupNarangala</v>
      </c>
      <c r="H349" s="5" t="str">
        <f t="shared" si="1"/>
        <v xml:space="preserve"> View Map </v>
      </c>
    </row>
    <row r="350" spans="2:8" x14ac:dyDescent="0.2">
      <c r="B350" s="4" t="str">
        <f>PROPER(Sheet1!$B350&amp;" "&amp;"Tea Factory")</f>
        <v>Gartmore  Tea Factory</v>
      </c>
      <c r="F350" s="4" t="str">
        <f>Sheet1!G350</f>
        <v>Uda Bulathgama</v>
      </c>
      <c r="G350" s="4" t="str">
        <f>Sheet1!J350</f>
        <v>Gartmore GroupMaskeliya</v>
      </c>
      <c r="H350" s="5" t="str">
        <f t="shared" si="1"/>
        <v xml:space="preserve"> View Map </v>
      </c>
    </row>
    <row r="351" spans="2:8" x14ac:dyDescent="0.2">
      <c r="B351" s="4" t="str">
        <f>PROPER(Sheet1!$B351&amp;" "&amp;"Tea Factory")</f>
        <v>Hunasgiriya Tea Factory</v>
      </c>
      <c r="F351" s="4" t="str">
        <f>Sheet1!G351</f>
        <v>Imbulpitiya</v>
      </c>
      <c r="G351" s="4" t="str">
        <f>Sheet1!J351</f>
        <v>Hunnasgiriya EstateElkaduwa</v>
      </c>
      <c r="H351" s="5" t="str">
        <f t="shared" si="1"/>
        <v xml:space="preserve"> View Map </v>
      </c>
    </row>
    <row r="352" spans="2:8" x14ac:dyDescent="0.2">
      <c r="B352" s="4" t="str">
        <f>PROPER(Sheet1!$B352&amp;" "&amp;"Tea Factory")</f>
        <v>Mooloya  Tea Factory</v>
      </c>
      <c r="F352" s="4">
        <f>Sheet1!G352</f>
        <v>0</v>
      </c>
      <c r="G352" s="4" t="str">
        <f>Sheet1!J352</f>
        <v>Mooloya Estate174,Hewaheta</v>
      </c>
      <c r="H352" s="5" t="str">
        <f t="shared" si="1"/>
        <v xml:space="preserve"> View Map </v>
      </c>
    </row>
    <row r="353" spans="2:8" x14ac:dyDescent="0.2">
      <c r="B353" s="4" t="str">
        <f>PROPER(Sheet1!$B353&amp;" "&amp;"Tea Factory")</f>
        <v>Mayfield Tea Factory</v>
      </c>
      <c r="F353" s="4">
        <f>Sheet1!G353</f>
        <v>0</v>
      </c>
      <c r="G353" s="4" t="str">
        <f>Sheet1!J353</f>
        <v>Hatton</v>
      </c>
      <c r="H353" s="5" t="str">
        <f t="shared" si="1"/>
        <v xml:space="preserve"> View Map </v>
      </c>
    </row>
    <row r="354" spans="2:8" x14ac:dyDescent="0.2">
      <c r="B354" s="4" t="str">
        <f>PROPER(Sheet1!$B354&amp;" "&amp;"Tea Factory")</f>
        <v>Nichola Oya  Tea Factory</v>
      </c>
      <c r="F354" s="4" t="str">
        <f>Sheet1!G354</f>
        <v>Rattota</v>
      </c>
      <c r="G354" s="4" t="str">
        <f>Sheet1!J354</f>
        <v>Nichola Oya State PlantationRattota</v>
      </c>
      <c r="H354" s="5" t="str">
        <f t="shared" si="1"/>
        <v xml:space="preserve"> View Map </v>
      </c>
    </row>
    <row r="355" spans="2:8" x14ac:dyDescent="0.2">
      <c r="B355" s="4" t="str">
        <f>PROPER(Sheet1!$B355&amp;" "&amp;"Tea Factory")</f>
        <v>Spring  Valley Group  Tea Factory</v>
      </c>
      <c r="F355" s="4">
        <f>Sheet1!G355</f>
        <v>0</v>
      </c>
      <c r="G355" s="4" t="str">
        <f>Sheet1!J355</f>
        <v>Badulla</v>
      </c>
      <c r="H355" s="5" t="str">
        <f t="shared" si="1"/>
        <v xml:space="preserve"> View Map </v>
      </c>
    </row>
    <row r="356" spans="2:8" x14ac:dyDescent="0.2">
      <c r="B356" s="4" t="str">
        <f>PROPER(Sheet1!$B356&amp;" "&amp;"Tea Factory")</f>
        <v>Telebedde  Tea Factory</v>
      </c>
      <c r="F356" s="4" t="str">
        <f>Sheet1!G356</f>
        <v>Telbedda</v>
      </c>
      <c r="G356" s="4" t="str">
        <f>Sheet1!J356</f>
        <v>TelbeddaBadulla</v>
      </c>
      <c r="H356" s="5" t="str">
        <f t="shared" si="1"/>
        <v xml:space="preserve"> View Map </v>
      </c>
    </row>
    <row r="357" spans="2:8" x14ac:dyDescent="0.2">
      <c r="B357" s="4" t="str">
        <f>PROPER(Sheet1!$B357&amp;" "&amp;"Tea Factory")</f>
        <v>Weygalla Tea Factory</v>
      </c>
      <c r="F357" s="4">
        <f>Sheet1!G357</f>
        <v>0</v>
      </c>
      <c r="G357" s="4">
        <f>Sheet1!J357</f>
        <v>0</v>
      </c>
      <c r="H357" s="5" t="str">
        <f t="shared" si="1"/>
        <v xml:space="preserve"> View Map </v>
      </c>
    </row>
    <row r="358" spans="2:8" x14ac:dyDescent="0.2">
      <c r="B358" s="4" t="str">
        <f>PROPER(Sheet1!$B358&amp;" "&amp;"Tea Factory")</f>
        <v>Craig  Tea Factory</v>
      </c>
      <c r="F358" s="4" t="str">
        <f>Sheet1!G358</f>
        <v>Punagala</v>
      </c>
      <c r="G358" s="4" t="str">
        <f>Sheet1!J358</f>
        <v>Craig EstateBandarawela</v>
      </c>
      <c r="H358" s="5" t="str">
        <f t="shared" si="1"/>
        <v xml:space="preserve"> View Map </v>
      </c>
    </row>
    <row r="359" spans="2:8" x14ac:dyDescent="0.2">
      <c r="B359" s="4" t="str">
        <f>PROPER(Sheet1!$B359&amp;" "&amp;"Tea Factory")</f>
        <v>Keragala Tea Factory</v>
      </c>
      <c r="F359" s="4" t="str">
        <f>Sheet1!G359</f>
        <v>Keeragala</v>
      </c>
      <c r="G359" s="4" t="str">
        <f>Sheet1!J359</f>
        <v>Keragalla EstateKuruvita</v>
      </c>
      <c r="H359" s="5" t="str">
        <f t="shared" si="1"/>
        <v xml:space="preserve"> View Map </v>
      </c>
    </row>
    <row r="360" spans="2:8" x14ac:dyDescent="0.2">
      <c r="B360" s="4" t="str">
        <f>PROPER(Sheet1!$B360&amp;" "&amp;"Tea Factory")</f>
        <v>Laxapana Tea Factory</v>
      </c>
      <c r="F360" s="4">
        <f>Sheet1!G360</f>
        <v>0</v>
      </c>
      <c r="G360" s="4" t="str">
        <f>Sheet1!J360</f>
        <v>Laxapana GroupMaskeliya</v>
      </c>
      <c r="H360" s="5" t="str">
        <f t="shared" si="1"/>
        <v xml:space="preserve"> View Map </v>
      </c>
    </row>
    <row r="361" spans="2:8" x14ac:dyDescent="0.2">
      <c r="B361" s="4" t="str">
        <f>PROPER(Sheet1!$B361&amp;" "&amp;"Tea Factory")</f>
        <v>Maha Eliya Tea Factory</v>
      </c>
      <c r="F361" s="4">
        <f>Sheet1!G361</f>
        <v>0</v>
      </c>
      <c r="G361" s="4" t="str">
        <f>Sheet1!J361</f>
        <v>Calsay Maha Eliya EstateNanu - Oya</v>
      </c>
      <c r="H361" s="5" t="str">
        <f t="shared" si="1"/>
        <v xml:space="preserve"> View Map </v>
      </c>
    </row>
    <row r="362" spans="2:8" x14ac:dyDescent="0.2">
      <c r="B362" s="4" t="str">
        <f>PROPER(Sheet1!$B362&amp;" "&amp;"Tea Factory")</f>
        <v>Waltrim Tea Factory</v>
      </c>
      <c r="F362" s="4" t="str">
        <f>Sheet1!G362</f>
        <v>Lindula</v>
      </c>
      <c r="G362" s="4" t="str">
        <f>Sheet1!J362</f>
        <v>LindulaThalawakelleNuwara Eliya</v>
      </c>
      <c r="H362" s="5" t="str">
        <f t="shared" si="1"/>
        <v xml:space="preserve"> View Map </v>
      </c>
    </row>
    <row r="363" spans="2:8" x14ac:dyDescent="0.2">
      <c r="B363" s="4" t="str">
        <f>PROPER(Sheet1!$B363&amp;" "&amp;"Tea Factory")</f>
        <v>Kandaloya Tea Factory</v>
      </c>
      <c r="F363" s="4" t="str">
        <f>Sheet1!G363</f>
        <v>Berannawa</v>
      </c>
      <c r="G363" s="4" t="str">
        <f>Sheet1!J363</f>
        <v>Karawanella</v>
      </c>
      <c r="H363" s="5" t="str">
        <f t="shared" si="1"/>
        <v xml:space="preserve"> View Map </v>
      </c>
    </row>
    <row r="364" spans="2:8" x14ac:dyDescent="0.2">
      <c r="B364" s="4" t="str">
        <f>PROPER(Sheet1!$B364&amp;" "&amp;"Tea Factory")</f>
        <v>Kelliewatte Tea Factory</v>
      </c>
      <c r="F364" s="4">
        <f>Sheet1!G364</f>
        <v>0</v>
      </c>
      <c r="G364" s="4" t="str">
        <f>Sheet1!J364</f>
        <v>Kelliewatte EstateKotagala</v>
      </c>
      <c r="H364" s="5" t="str">
        <f t="shared" si="1"/>
        <v xml:space="preserve"> View Map </v>
      </c>
    </row>
    <row r="365" spans="2:8" x14ac:dyDescent="0.2">
      <c r="B365" s="4" t="str">
        <f>PROPER(Sheet1!$B365&amp;" "&amp;"Tea Factory")</f>
        <v>Nayapane  Tea Factory</v>
      </c>
      <c r="F365" s="4" t="str">
        <f>Sheet1!G365</f>
        <v>Kekulanda</v>
      </c>
      <c r="G365" s="4" t="str">
        <f>Sheet1!J365</f>
        <v>Nayapane EstatePussellawa</v>
      </c>
      <c r="H365" s="5" t="str">
        <f t="shared" si="1"/>
        <v xml:space="preserve"> View Map </v>
      </c>
    </row>
    <row r="366" spans="2:8" x14ac:dyDescent="0.2">
      <c r="B366" s="4" t="str">
        <f>PROPER(Sheet1!$B366&amp;" "&amp;"Tea Factory")</f>
        <v>Campion Tea Factory</v>
      </c>
      <c r="F366" s="4" t="str">
        <f>Sheet1!G366</f>
        <v>Bogawantalawa</v>
      </c>
      <c r="G366" s="4" t="str">
        <f>Sheet1!J366</f>
        <v>Champion EstateBogawantalawa</v>
      </c>
      <c r="H366" s="5" t="str">
        <f t="shared" si="1"/>
        <v xml:space="preserve"> View Map </v>
      </c>
    </row>
    <row r="367" spans="2:8" x14ac:dyDescent="0.2">
      <c r="B367" s="4" t="str">
        <f>PROPER(Sheet1!$B367&amp;" "&amp;"Tea Factory")</f>
        <v>Kotaganga Tea Factory</v>
      </c>
      <c r="F367" s="4" t="str">
        <f>Sheet1!G367</f>
        <v>Kotaganga</v>
      </c>
      <c r="G367" s="4" t="str">
        <f>Sheet1!J367</f>
        <v>Cottaganga EstateRangala</v>
      </c>
      <c r="H367" s="5" t="str">
        <f t="shared" si="1"/>
        <v xml:space="preserve"> View Map </v>
      </c>
    </row>
    <row r="368" spans="2:8" x14ac:dyDescent="0.2">
      <c r="B368" s="4" t="str">
        <f>PROPER(Sheet1!$B368&amp;" "&amp;"Tea Factory")</f>
        <v>Hautale Valley Tea Factory</v>
      </c>
      <c r="F368" s="4" t="str">
        <f>Sheet1!G368</f>
        <v>Agarapathana</v>
      </c>
      <c r="G368" s="4" t="str">
        <f>Sheet1!J368</f>
        <v>Agarapathana</v>
      </c>
      <c r="H368" s="5" t="str">
        <f t="shared" si="1"/>
        <v xml:space="preserve"> View Map </v>
      </c>
    </row>
    <row r="369" spans="2:8" x14ac:dyDescent="0.2">
      <c r="B369" s="4" t="str">
        <f>PROPER(Sheet1!$B369&amp;" "&amp;"Tea Factory")</f>
        <v>New Doragala Tea Factory</v>
      </c>
      <c r="F369" s="4">
        <f>Sheet1!G369</f>
        <v>0</v>
      </c>
      <c r="G369" s="4" t="str">
        <f>Sheet1!J369</f>
        <v>Doragala,Gampola.</v>
      </c>
      <c r="H369" s="5" t="str">
        <f t="shared" si="1"/>
        <v xml:space="preserve"> View Map </v>
      </c>
    </row>
    <row r="370" spans="2:8" x14ac:dyDescent="0.2">
      <c r="B370" s="4" t="str">
        <f>PROPER(Sheet1!$B370&amp;" "&amp;"Tea Factory")</f>
        <v>Mahacoodagalla Tea Factory</v>
      </c>
      <c r="F370" s="4">
        <f>Sheet1!G370</f>
        <v>0</v>
      </c>
      <c r="G370" s="4" t="str">
        <f>Sheet1!J370</f>
        <v>Mahacoodagalla Estate,Halgranoya.</v>
      </c>
      <c r="H370" s="5" t="str">
        <f t="shared" si="1"/>
        <v xml:space="preserve"> View Map </v>
      </c>
    </row>
    <row r="371" spans="2:8" x14ac:dyDescent="0.2">
      <c r="B371" s="4" t="str">
        <f>PROPER(Sheet1!$B371&amp;" "&amp;"Tea Factory")</f>
        <v>Bearwell Tea Factory</v>
      </c>
      <c r="F371" s="4" t="str">
        <f>Sheet1!G371</f>
        <v>Lindula</v>
      </c>
      <c r="G371" s="4" t="str">
        <f>Sheet1!J371</f>
        <v>Bearwell EstateTalawakelle</v>
      </c>
      <c r="H371" s="5" t="str">
        <f t="shared" si="1"/>
        <v xml:space="preserve"> View Map </v>
      </c>
    </row>
    <row r="372" spans="2:8" x14ac:dyDescent="0.2">
      <c r="B372" s="4" t="str">
        <f>PROPER(Sheet1!$B372&amp;" "&amp;"Tea Factory")</f>
        <v>Blaierlomond  Tea Factory</v>
      </c>
      <c r="F372" s="4" t="str">
        <f>Sheet1!G372</f>
        <v>Udu Pussellawa</v>
      </c>
      <c r="G372" s="4" t="str">
        <f>Sheet1!J372</f>
        <v>Udupussellawa Road</v>
      </c>
      <c r="H372" s="5" t="str">
        <f t="shared" si="1"/>
        <v xml:space="preserve"> View Map </v>
      </c>
    </row>
    <row r="373" spans="2:8" x14ac:dyDescent="0.2">
      <c r="B373" s="4" t="str">
        <f>PROPER(Sheet1!$B373&amp;" "&amp;"Tea Factory")</f>
        <v>Millington Tea Factory</v>
      </c>
      <c r="F373" s="4" t="str">
        <f>Sheet1!G373</f>
        <v>KOTAGALA</v>
      </c>
      <c r="G373" s="4" t="str">
        <f>Sheet1!J373</f>
        <v>Harrington EstateKotagala</v>
      </c>
      <c r="H373" s="5" t="str">
        <f t="shared" si="1"/>
        <v xml:space="preserve"> View Map </v>
      </c>
    </row>
    <row r="374" spans="2:8" x14ac:dyDescent="0.2">
      <c r="B374" s="4" t="str">
        <f>PROPER(Sheet1!$B374&amp;" "&amp;"Tea Factory")</f>
        <v>Lippakelle Tea Factory</v>
      </c>
      <c r="F374" s="4">
        <f>Sheet1!G374</f>
        <v>0</v>
      </c>
      <c r="G374" s="4" t="str">
        <f>Sheet1!J374</f>
        <v>Lipakelle EstateLindula</v>
      </c>
      <c r="H374" s="5" t="str">
        <f t="shared" si="1"/>
        <v xml:space="preserve"> View Map </v>
      </c>
    </row>
    <row r="375" spans="2:8" x14ac:dyDescent="0.2">
      <c r="B375" s="4" t="str">
        <f>PROPER(Sheet1!$B375&amp;" "&amp;"Tea Factory")</f>
        <v>Mousa Ella Tea Factory</v>
      </c>
      <c r="F375" s="4" t="str">
        <f>Sheet1!G375</f>
        <v>Talawakelle</v>
      </c>
      <c r="G375" s="4" t="str">
        <f>Sheet1!J375</f>
        <v>TalawakelleLindula</v>
      </c>
      <c r="H375" s="5" t="str">
        <f t="shared" si="1"/>
        <v xml:space="preserve"> View Map </v>
      </c>
    </row>
    <row r="376" spans="2:8" x14ac:dyDescent="0.2">
      <c r="B376" s="4" t="str">
        <f>PROPER(Sheet1!$B376&amp;" "&amp;"Tea Factory")</f>
        <v>Gonamotava  Tea Factory</v>
      </c>
      <c r="F376" s="4" t="str">
        <f>Sheet1!G376</f>
        <v>Obodaella</v>
      </c>
      <c r="G376" s="4" t="str">
        <f>Sheet1!J376</f>
        <v>Gonamotawa EstateHaputale</v>
      </c>
      <c r="H376" s="5" t="str">
        <f t="shared" si="1"/>
        <v xml:space="preserve"> View Map </v>
      </c>
    </row>
    <row r="377" spans="2:8" x14ac:dyDescent="0.2">
      <c r="B377" s="4" t="str">
        <f>PROPER(Sheet1!$B377&amp;" "&amp;"Tea Factory")</f>
        <v>Goomera Tea Factory</v>
      </c>
      <c r="F377" s="4" t="str">
        <f>Sheet1!G377</f>
        <v>Goomera</v>
      </c>
      <c r="G377" s="4" t="str">
        <f>Sheet1!J377</f>
        <v>ThawalantennaPanwila.</v>
      </c>
      <c r="H377" s="5" t="str">
        <f t="shared" si="1"/>
        <v xml:space="preserve"> View Map </v>
      </c>
    </row>
    <row r="378" spans="2:8" x14ac:dyDescent="0.2">
      <c r="B378" s="4" t="str">
        <f>PROPER(Sheet1!$B378&amp;" "&amp;"Tea Factory")</f>
        <v>Hatale Tea Factory</v>
      </c>
      <c r="F378" s="4" t="str">
        <f>Sheet1!G378</f>
        <v>Hathale</v>
      </c>
      <c r="G378" s="4" t="str">
        <f>Sheet1!J378</f>
        <v>HathalePanvilaKandy</v>
      </c>
      <c r="H378" s="5" t="str">
        <f t="shared" si="1"/>
        <v xml:space="preserve"> View Map </v>
      </c>
    </row>
    <row r="379" spans="2:8" x14ac:dyDescent="0.2">
      <c r="B379" s="4" t="str">
        <f>PROPER(Sheet1!$B379&amp;" "&amp;"Tea Factory")</f>
        <v>Hemingford Tea Factory</v>
      </c>
      <c r="F379" s="4">
        <f>Sheet1!G379</f>
        <v>0</v>
      </c>
      <c r="G379" s="4">
        <f>Sheet1!J379</f>
        <v>0</v>
      </c>
      <c r="H379" s="5" t="str">
        <f t="shared" si="1"/>
        <v xml:space="preserve"> View Map </v>
      </c>
    </row>
    <row r="380" spans="2:8" x14ac:dyDescent="0.2">
      <c r="B380" s="4" t="str">
        <f>PROPER(Sheet1!$B380&amp;" "&amp;"Tea Factory")</f>
        <v>Midlands Tea Factory</v>
      </c>
      <c r="F380" s="4" t="str">
        <f>Sheet1!G380</f>
        <v>Weralugastenna</v>
      </c>
      <c r="G380" s="4" t="str">
        <f>Sheet1!J380</f>
        <v>Midlands EstateRattota</v>
      </c>
      <c r="H380" s="5" t="str">
        <f t="shared" si="1"/>
        <v xml:space="preserve"> View Map </v>
      </c>
    </row>
    <row r="381" spans="2:8" x14ac:dyDescent="0.2">
      <c r="B381" s="4" t="str">
        <f>PROPER(Sheet1!$B381&amp;" "&amp;"Tea Factory")</f>
        <v>Penrith Tea Factory</v>
      </c>
      <c r="F381" s="4">
        <f>Sheet1!G381</f>
        <v>0</v>
      </c>
      <c r="G381" s="4">
        <f>Sheet1!J381</f>
        <v>0</v>
      </c>
      <c r="H381" s="5" t="str">
        <f t="shared" si="1"/>
        <v xml:space="preserve"> View Map </v>
      </c>
    </row>
    <row r="382" spans="2:8" x14ac:dyDescent="0.2">
      <c r="B382" s="4" t="str">
        <f>PROPER(Sheet1!$B382&amp;" "&amp;"Tea Factory")</f>
        <v>Elkaduwa Tea Factory</v>
      </c>
      <c r="F382" s="4">
        <f>Sheet1!G382</f>
        <v>0</v>
      </c>
      <c r="G382" s="4" t="str">
        <f>Sheet1!J382</f>
        <v>Elkaduwa EstateMatale</v>
      </c>
      <c r="H382" s="5" t="str">
        <f t="shared" si="1"/>
        <v xml:space="preserve"> View Map </v>
      </c>
    </row>
    <row r="383" spans="2:8" x14ac:dyDescent="0.2">
      <c r="B383" s="4" t="str">
        <f>PROPER(Sheet1!$B383&amp;" "&amp;"Tea Factory")</f>
        <v>Ragalla Group Tea Factory</v>
      </c>
      <c r="F383" s="4">
        <f>Sheet1!G383</f>
        <v>0</v>
      </c>
      <c r="G383" s="4" t="str">
        <f>Sheet1!J383</f>
        <v>Ragalla EstateHalgranoya</v>
      </c>
      <c r="H383" s="5" t="str">
        <f t="shared" si="1"/>
        <v xml:space="preserve"> View Map </v>
      </c>
    </row>
    <row r="384" spans="2:8" x14ac:dyDescent="0.2">
      <c r="B384" s="4" t="str">
        <f>PROPER(Sheet1!$B384&amp;" "&amp;"Tea Factory")</f>
        <v>Palagala  Tea Factory</v>
      </c>
      <c r="F384" s="4" t="str">
        <f>Sheet1!G384</f>
        <v>Raxawa</v>
      </c>
      <c r="G384" s="4" t="str">
        <f>Sheet1!J384</f>
        <v>Raxawa Estate,Dolosbage.</v>
      </c>
      <c r="H384" s="5" t="str">
        <f t="shared" si="1"/>
        <v xml:space="preserve"> View Map </v>
      </c>
    </row>
    <row r="385" spans="2:8" x14ac:dyDescent="0.2">
      <c r="B385" s="4" t="str">
        <f>PROPER(Sheet1!$B385&amp;" "&amp;"Tea Factory")</f>
        <v>Hulandawa Tea Factory</v>
      </c>
      <c r="F385" s="4" t="str">
        <f>Sheet1!G385</f>
        <v>Hulandawa</v>
      </c>
      <c r="G385" s="4" t="str">
        <f>Sheet1!J385</f>
        <v>Hulandawa Estate,Akuressa.</v>
      </c>
      <c r="H385" s="5" t="str">
        <f t="shared" si="1"/>
        <v xml:space="preserve"> View Map </v>
      </c>
    </row>
    <row r="386" spans="2:8" x14ac:dyDescent="0.2">
      <c r="B386" s="4" t="str">
        <f>PROPER(Sheet1!$B386&amp;" "&amp;"Tea Factory")</f>
        <v>Kirklees  Tea Factory</v>
      </c>
      <c r="F386" s="4">
        <f>Sheet1!G386</f>
        <v>0</v>
      </c>
      <c r="G386" s="4" t="str">
        <f>Sheet1!J386</f>
        <v>Uda Pussallawa.</v>
      </c>
      <c r="H386" s="5" t="str">
        <f t="shared" si="1"/>
        <v xml:space="preserve"> View Map </v>
      </c>
    </row>
    <row r="387" spans="2:8" x14ac:dyDescent="0.2">
      <c r="B387" s="4" t="str">
        <f>PROPER(Sheet1!$B387&amp;" "&amp;"Tea Factory")</f>
        <v>Gonatipolla Tea Factory</v>
      </c>
      <c r="F387" s="4" t="str">
        <f>Sheet1!G387</f>
        <v>Ethkandura</v>
      </c>
      <c r="G387" s="4" t="str">
        <f>Sheet1!J387</f>
        <v>Ethkandura</v>
      </c>
      <c r="H387" s="5" t="str">
        <f t="shared" si="1"/>
        <v xml:space="preserve"> View Map </v>
      </c>
    </row>
    <row r="388" spans="2:8" x14ac:dyDescent="0.2">
      <c r="B388" s="4" t="str">
        <f>PROPER(Sheet1!$B388&amp;" "&amp;"Tea Factory")</f>
        <v>Thisara Tea Factory</v>
      </c>
      <c r="F388" s="4">
        <f>Sheet1!G388</f>
        <v>0</v>
      </c>
      <c r="G388" s="4" t="str">
        <f>Sheet1!J388</f>
        <v>Halpathota,Baddegama,Galle.</v>
      </c>
      <c r="H388" s="5" t="str">
        <f t="shared" si="1"/>
        <v xml:space="preserve"> View Map </v>
      </c>
    </row>
    <row r="389" spans="2:8" x14ac:dyDescent="0.2">
      <c r="B389" s="4" t="str">
        <f>PROPER(Sheet1!$B389&amp;" "&amp;"Tea Factory")</f>
        <v>Uva Haputale Valley  Tea Factory</v>
      </c>
      <c r="F389" s="4" t="str">
        <f>Sheet1!G389</f>
        <v>Horadoruwa</v>
      </c>
      <c r="G389" s="4" t="str">
        <f>Sheet1!J389</f>
        <v>Horadoruwa,Haputale</v>
      </c>
      <c r="H389" s="5" t="str">
        <f t="shared" si="1"/>
        <v xml:space="preserve"> View Map </v>
      </c>
    </row>
    <row r="390" spans="2:8" x14ac:dyDescent="0.2">
      <c r="B390" s="4" t="str">
        <f>PROPER(Sheet1!$B390&amp;" "&amp;"Tea Factory")</f>
        <v>Dodangaha  Tea Factory</v>
      </c>
      <c r="F390" s="4" t="str">
        <f>Sheet1!G390</f>
        <v>Wattehene</v>
      </c>
      <c r="G390" s="4" t="str">
        <f>Sheet1!J390</f>
        <v>WattehenaTalgaswala</v>
      </c>
      <c r="H390" s="5" t="str">
        <f t="shared" si="1"/>
        <v xml:space="preserve"> View Map </v>
      </c>
    </row>
    <row r="391" spans="2:8" x14ac:dyDescent="0.2">
      <c r="B391" s="4" t="str">
        <f>PROPER(Sheet1!$B391&amp;" "&amp;"Tea Factory")</f>
        <v>Elaudawila Tea Factory</v>
      </c>
      <c r="F391" s="4">
        <f>Sheet1!G391</f>
        <v>0</v>
      </c>
      <c r="G391" s="4" t="str">
        <f>Sheet1!J391</f>
        <v>WaduwelivitiyaBaddegama</v>
      </c>
      <c r="H391" s="5" t="str">
        <f t="shared" si="1"/>
        <v xml:space="preserve"> View Map </v>
      </c>
    </row>
    <row r="392" spans="2:8" x14ac:dyDescent="0.2">
      <c r="B392" s="4" t="str">
        <f>PROPER(Sheet1!$B392&amp;" "&amp;"Tea Factory")</f>
        <v>Tillyrie  Tea Factory</v>
      </c>
      <c r="F392" s="4">
        <f>Sheet1!G392</f>
        <v>0</v>
      </c>
      <c r="G392" s="4" t="str">
        <f>Sheet1!J392</f>
        <v>Tillyrie EstateDick Oya</v>
      </c>
      <c r="H392" s="5" t="str">
        <f t="shared" si="1"/>
        <v xml:space="preserve"> View Map </v>
      </c>
    </row>
    <row r="393" spans="2:8" x14ac:dyDescent="0.2">
      <c r="B393" s="4" t="str">
        <f>PROPER(Sheet1!$B393&amp;" "&amp;"Tea Factory")</f>
        <v>Alton Tea Factory</v>
      </c>
      <c r="F393" s="4">
        <f>Sheet1!G393</f>
        <v>0</v>
      </c>
      <c r="G393" s="4" t="str">
        <f>Sheet1!J393</f>
        <v>Alton Tea FactoryUpcot</v>
      </c>
      <c r="H393" s="5" t="str">
        <f t="shared" si="1"/>
        <v xml:space="preserve"> View Map </v>
      </c>
    </row>
    <row r="394" spans="2:8" x14ac:dyDescent="0.2">
      <c r="B394" s="4" t="str">
        <f>PROPER(Sheet1!$B394&amp;" "&amp;"Tea Factory")</f>
        <v>Tangakelle Tea Factory</v>
      </c>
      <c r="F394" s="4">
        <f>Sheet1!G394</f>
        <v>0</v>
      </c>
      <c r="G394" s="4" t="str">
        <f>Sheet1!J394</f>
        <v>Tangakelle EstateLindula</v>
      </c>
      <c r="H394" s="5" t="str">
        <f t="shared" si="1"/>
        <v xml:space="preserve"> View Map </v>
      </c>
    </row>
    <row r="395" spans="2:8" x14ac:dyDescent="0.2">
      <c r="B395" s="4" t="str">
        <f>PROPER(Sheet1!$B395&amp;" "&amp;"Tea Factory")</f>
        <v>Waverly Tea Factory</v>
      </c>
      <c r="F395" s="4">
        <f>Sheet1!G395</f>
        <v>0</v>
      </c>
      <c r="G395" s="4" t="str">
        <f>Sheet1!J395</f>
        <v>Waverley GroupAgarapathana</v>
      </c>
      <c r="H395" s="5" t="str">
        <f t="shared" si="1"/>
        <v xml:space="preserve"> View Map </v>
      </c>
    </row>
    <row r="396" spans="2:8" x14ac:dyDescent="0.2">
      <c r="B396" s="4" t="str">
        <f>PROPER(Sheet1!$B396&amp;" "&amp;"Tea Factory")</f>
        <v>Holyrood Tea Factory</v>
      </c>
      <c r="F396" s="4">
        <f>Sheet1!G396</f>
        <v>0</v>
      </c>
      <c r="G396" s="4" t="str">
        <f>Sheet1!J396</f>
        <v>Holyrood EstateThalawakelle</v>
      </c>
      <c r="H396" s="5" t="str">
        <f t="shared" si="1"/>
        <v xml:space="preserve"> View Map </v>
      </c>
    </row>
    <row r="397" spans="2:8" x14ac:dyDescent="0.2">
      <c r="B397" s="4" t="str">
        <f>PROPER(Sheet1!$B397&amp;" "&amp;"Tea Factory")</f>
        <v>Pita Rathmalie  Tea Factory</v>
      </c>
      <c r="F397" s="4" t="str">
        <f>Sheet1!G397</f>
        <v>Haputalegama</v>
      </c>
      <c r="G397" s="4" t="str">
        <f>Sheet1!J397</f>
        <v>Pitartamalle EstateHaputale</v>
      </c>
      <c r="H397" s="5" t="str">
        <f t="shared" si="1"/>
        <v xml:space="preserve"> View Map </v>
      </c>
    </row>
    <row r="398" spans="2:8" x14ac:dyDescent="0.2">
      <c r="B398" s="4" t="str">
        <f>PROPER(Sheet1!$B398&amp;" "&amp;"Tea Factory")</f>
        <v>Kabaragalla Tea Factory</v>
      </c>
      <c r="F398" s="4">
        <f>Sheet1!G398</f>
        <v>0</v>
      </c>
      <c r="G398" s="4" t="str">
        <f>Sheet1!J398</f>
        <v>Kabaragalla EstatePadiyapalalla.</v>
      </c>
      <c r="H398" s="5" t="str">
        <f t="shared" si="1"/>
        <v xml:space="preserve"> View Map </v>
      </c>
    </row>
    <row r="399" spans="2:8" x14ac:dyDescent="0.2">
      <c r="B399" s="4" t="str">
        <f>PROPER(Sheet1!$B399&amp;" "&amp;"Tea Factory")</f>
        <v>Somerset Tea Factory</v>
      </c>
      <c r="F399" s="4" t="str">
        <f>Sheet1!G399</f>
        <v>Nanu Oya</v>
      </c>
      <c r="G399" s="4" t="str">
        <f>Sheet1!J399</f>
        <v>Somerset estateUdahentenne</v>
      </c>
      <c r="H399" s="5" t="str">
        <f t="shared" si="1"/>
        <v xml:space="preserve"> View Map </v>
      </c>
    </row>
    <row r="400" spans="2:8" x14ac:dyDescent="0.2">
      <c r="B400" s="4" t="str">
        <f>PROPER(Sheet1!$B400&amp;" "&amp;"Tea Factory")</f>
        <v>Houpe  Tea Factory</v>
      </c>
      <c r="F400" s="4" t="str">
        <f>Sheet1!G400</f>
        <v>Haoupe</v>
      </c>
      <c r="G400" s="4" t="str">
        <f>Sheet1!J400</f>
        <v>Houpe EstateKahawatte</v>
      </c>
      <c r="H400" s="5" t="str">
        <f t="shared" si="1"/>
        <v xml:space="preserve"> View Map </v>
      </c>
    </row>
    <row r="401" spans="2:8" x14ac:dyDescent="0.2">
      <c r="B401" s="4" t="str">
        <f>PROPER(Sheet1!$B401&amp;" "&amp;"Tea Factory")</f>
        <v>Beaumont Tea Factory</v>
      </c>
      <c r="F401" s="4" t="str">
        <f>Sheet1!G401</f>
        <v>Pupuress</v>
      </c>
      <c r="G401" s="4" t="str">
        <f>Sheet1!J401</f>
        <v>Beaument GroupPupuressa</v>
      </c>
      <c r="H401" s="5" t="str">
        <f t="shared" si="1"/>
        <v xml:space="preserve"> View Map </v>
      </c>
    </row>
    <row r="402" spans="2:8" x14ac:dyDescent="0.2">
      <c r="B402" s="4" t="str">
        <f>PROPER(Sheet1!$B402&amp;" "&amp;"Tea Factory")</f>
        <v>Radella Tea Factory</v>
      </c>
      <c r="F402" s="4" t="str">
        <f>Sheet1!G402</f>
        <v>Nanu Oya</v>
      </c>
      <c r="G402" s="4" t="str">
        <f>Sheet1!J402</f>
        <v>Radella EstateNano OyaNuwara Eliya</v>
      </c>
      <c r="H402" s="5" t="str">
        <f t="shared" si="1"/>
        <v xml:space="preserve"> View Map </v>
      </c>
    </row>
    <row r="403" spans="2:8" x14ac:dyDescent="0.2">
      <c r="B403" s="4" t="str">
        <f>PROPER(Sheet1!$B403&amp;" "&amp;"Tea Factory")</f>
        <v>Strathdon Tea Factory</v>
      </c>
      <c r="F403" s="4">
        <f>Sheet1!G403</f>
        <v>0</v>
      </c>
      <c r="G403" s="4" t="str">
        <f>Sheet1!J403</f>
        <v>Strathedan Tea EstateHatton</v>
      </c>
      <c r="H403" s="5" t="str">
        <f t="shared" si="1"/>
        <v xml:space="preserve"> View Map </v>
      </c>
    </row>
    <row r="404" spans="2:8" x14ac:dyDescent="0.2">
      <c r="B404" s="4" t="str">
        <f>PROPER(Sheet1!$B404&amp;" "&amp;"Tea Factory")</f>
        <v>Templestowe Tea Factory</v>
      </c>
      <c r="F404" s="4" t="str">
        <f>Sheet1!G404</f>
        <v>Dekida</v>
      </c>
      <c r="G404" s="4" t="str">
        <f>Sheet1!J404</f>
        <v>Templestove EstateRozella</v>
      </c>
      <c r="H404" s="5" t="str">
        <f t="shared" si="1"/>
        <v xml:space="preserve"> View Map </v>
      </c>
    </row>
    <row r="405" spans="2:8" x14ac:dyDescent="0.2">
      <c r="B405" s="4" t="str">
        <f>PROPER(Sheet1!$B405&amp;" "&amp;"Tea Factory")</f>
        <v>Yarrow Tea Factory</v>
      </c>
      <c r="F405" s="4">
        <f>Sheet1!G405</f>
        <v>0</v>
      </c>
      <c r="G405" s="4">
        <f>Sheet1!J405</f>
        <v>0</v>
      </c>
      <c r="H405" s="5" t="str">
        <f t="shared" si="1"/>
        <v xml:space="preserve"> View Map </v>
      </c>
    </row>
    <row r="406" spans="2:8" x14ac:dyDescent="0.2">
      <c r="B406" s="4" t="str">
        <f>PROPER(Sheet1!$B406&amp;" "&amp;"Tea Factory")</f>
        <v>Hare Park Tea Factory</v>
      </c>
      <c r="F406" s="4">
        <f>Sheet1!G406</f>
        <v>0</v>
      </c>
      <c r="G406" s="4" t="str">
        <f>Sheet1!J406</f>
        <v>Hare Park EstateHunnasgiriya</v>
      </c>
      <c r="H406" s="5" t="str">
        <f t="shared" si="1"/>
        <v xml:space="preserve"> View Map </v>
      </c>
    </row>
    <row r="407" spans="2:8" x14ac:dyDescent="0.2">
      <c r="B407" s="4" t="str">
        <f>PROPER(Sheet1!$B407&amp;" "&amp;"Tea Factory")</f>
        <v>Golden Hill Tea Factory</v>
      </c>
      <c r="F407" s="4" t="str">
        <f>Sheet1!G407</f>
        <v>Oyalakanda</v>
      </c>
      <c r="G407" s="4" t="str">
        <f>Sheet1!J407</f>
        <v>Kovilakanda Road,Wattappola.</v>
      </c>
      <c r="H407" s="5" t="str">
        <f t="shared" si="1"/>
        <v xml:space="preserve"> View Map </v>
      </c>
    </row>
    <row r="408" spans="2:8" x14ac:dyDescent="0.2">
      <c r="B408" s="4" t="str">
        <f>PROPER(Sheet1!$B408&amp;" "&amp;"Tea Factory")</f>
        <v>Hapugastenne  Tea Factory</v>
      </c>
      <c r="F408" s="4">
        <f>Sheet1!G408</f>
        <v>0</v>
      </c>
      <c r="G408" s="4" t="str">
        <f>Sheet1!J408</f>
        <v>GallellaRatnapura</v>
      </c>
      <c r="H408" s="5" t="str">
        <f t="shared" si="1"/>
        <v xml:space="preserve"> View Map </v>
      </c>
    </row>
    <row r="409" spans="2:8" x14ac:dyDescent="0.2">
      <c r="B409" s="4" t="str">
        <f>PROPER(Sheet1!$B409&amp;" "&amp;"Tea Factory")</f>
        <v>Deniyaya  Tea Factory</v>
      </c>
      <c r="F409" s="4">
        <f>Sheet1!G409</f>
        <v>0</v>
      </c>
      <c r="G409" s="4" t="str">
        <f>Sheet1!J409</f>
        <v>KotapolaDeniyayaMatara</v>
      </c>
      <c r="H409" s="5" t="str">
        <f t="shared" si="1"/>
        <v xml:space="preserve"> View Map </v>
      </c>
    </row>
    <row r="410" spans="2:8" x14ac:dyDescent="0.2">
      <c r="B410" s="4" t="str">
        <f>PROPER(Sheet1!$B410&amp;" "&amp;"Tea Factory")</f>
        <v>Chelsea  Tea Factory</v>
      </c>
      <c r="F410" s="4" t="str">
        <f>Sheet1!G410</f>
        <v>Katugla</v>
      </c>
      <c r="G410" s="4" t="str">
        <f>Sheet1!J410</f>
        <v>Chelsea EstateEllaBadulla</v>
      </c>
      <c r="H410" s="5" t="str">
        <f t="shared" si="1"/>
        <v xml:space="preserve"> View Map </v>
      </c>
    </row>
    <row r="411" spans="2:8" x14ac:dyDescent="0.2">
      <c r="B411" s="4" t="str">
        <f>PROPER(Sheet1!$B411&amp;" "&amp;"Tea Factory")</f>
        <v>Walahanduwa Tea Shakthi Tea Factory</v>
      </c>
      <c r="F411" s="4" t="str">
        <f>Sheet1!G411</f>
        <v>Baddegama</v>
      </c>
      <c r="G411" s="4" t="str">
        <f>Sheet1!J411</f>
        <v>Walanduwa ,Galle.</v>
      </c>
      <c r="H411" s="5" t="str">
        <f t="shared" si="1"/>
        <v xml:space="preserve"> View Map </v>
      </c>
    </row>
    <row r="412" spans="2:8" x14ac:dyDescent="0.2">
      <c r="B412" s="4" t="str">
        <f>PROPER(Sheet1!$B412&amp;" "&amp;"Tea Factory")</f>
        <v>Waleboda Tea Factory</v>
      </c>
      <c r="F412" s="4">
        <f>Sheet1!G412</f>
        <v>0</v>
      </c>
      <c r="G412" s="4" t="str">
        <f>Sheet1!J412</f>
        <v>KattadikandaImbulgodaRatnapura</v>
      </c>
      <c r="H412" s="5" t="str">
        <f t="shared" si="1"/>
        <v xml:space="preserve"> View Map </v>
      </c>
    </row>
    <row r="413" spans="2:8" x14ac:dyDescent="0.2">
      <c r="B413" s="4" t="str">
        <f>PROPER(Sheet1!$B413&amp;" "&amp;"Tea Factory")</f>
        <v>Yahalatenne  Tea Factory</v>
      </c>
      <c r="F413" s="4" t="str">
        <f>Sheet1!G413</f>
        <v>Yahalatenne</v>
      </c>
      <c r="G413" s="4" t="str">
        <f>Sheet1!J413</f>
        <v>Yahalatenna EstateWarallagama</v>
      </c>
      <c r="H413" s="5" t="str">
        <f t="shared" si="1"/>
        <v xml:space="preserve"> View Map </v>
      </c>
    </row>
    <row r="414" spans="2:8" x14ac:dyDescent="0.2">
      <c r="B414" s="4" t="str">
        <f>PROPER(Sheet1!$B414&amp;" "&amp;"Tea Factory")</f>
        <v>Kalupane Tea Factory</v>
      </c>
      <c r="F414" s="4" t="str">
        <f>Sheet1!G414</f>
        <v>Udugoda</v>
      </c>
      <c r="G414" s="4" t="str">
        <f>Sheet1!J414</f>
        <v>Bulathkohupitiya.</v>
      </c>
      <c r="H414" s="5" t="str">
        <f t="shared" si="1"/>
        <v xml:space="preserve"> View Map </v>
      </c>
    </row>
    <row r="415" spans="2:8" x14ac:dyDescent="0.2">
      <c r="B415" s="4" t="str">
        <f>PROPER(Sheet1!$B415&amp;" "&amp;"Tea Factory")</f>
        <v>Glenanore  Tea Factory</v>
      </c>
      <c r="F415" s="4">
        <f>Sheet1!G415</f>
        <v>0</v>
      </c>
      <c r="G415" s="4" t="str">
        <f>Sheet1!J415</f>
        <v>Glenanore EstateHaputaleBadulla</v>
      </c>
      <c r="H415" s="5" t="str">
        <f t="shared" si="1"/>
        <v xml:space="preserve"> View Map </v>
      </c>
    </row>
    <row r="416" spans="2:8" x14ac:dyDescent="0.2">
      <c r="B416" s="4" t="str">
        <f>PROPER(Sheet1!$B416&amp;" "&amp;"Tea Factory")</f>
        <v>Aroma Tea Factory</v>
      </c>
      <c r="F416" s="4">
        <f>Sheet1!G416</f>
        <v>0</v>
      </c>
      <c r="G416" s="4" t="str">
        <f>Sheet1!J416</f>
        <v>DELTHOTAKANDY</v>
      </c>
      <c r="H416" s="5" t="str">
        <f t="shared" si="1"/>
        <v xml:space="preserve"> View Map </v>
      </c>
    </row>
    <row r="417" spans="2:8" x14ac:dyDescent="0.2">
      <c r="B417" s="4" t="str">
        <f>PROPER(Sheet1!$B417&amp;" "&amp;"Tea Factory")</f>
        <v>Ambagasdowa  Tea Factory</v>
      </c>
      <c r="F417" s="4" t="str">
        <f>Sheet1!G417</f>
        <v>Alupola</v>
      </c>
      <c r="G417" s="4" t="str">
        <f>Sheet1!J417</f>
        <v>Welimada GroupWelimada</v>
      </c>
      <c r="H417" s="5" t="str">
        <f t="shared" si="1"/>
        <v xml:space="preserve"> View Map </v>
      </c>
    </row>
    <row r="418" spans="2:8" x14ac:dyDescent="0.2">
      <c r="B418" s="4" t="str">
        <f>PROPER(Sheet1!$B418&amp;" "&amp;"Tea Factory")</f>
        <v>Hakgala  Tea Factory</v>
      </c>
      <c r="F418" s="4" t="str">
        <f>Sheet1!G418</f>
        <v>Borasas</v>
      </c>
      <c r="G418" s="4" t="str">
        <f>Sheet1!J418</f>
        <v>Nuwara Eliya Rd, Hakkagala</v>
      </c>
      <c r="H418" s="5" t="str">
        <f t="shared" si="1"/>
        <v xml:space="preserve"> View Map </v>
      </c>
    </row>
    <row r="419" spans="2:8" x14ac:dyDescent="0.2">
      <c r="B419" s="4" t="str">
        <f>PROPER(Sheet1!$B419&amp;" "&amp;"Tea Factory")</f>
        <v>Eildon Hall Tea Factory</v>
      </c>
      <c r="F419" s="4">
        <f>Sheet1!G419</f>
        <v>0</v>
      </c>
      <c r="G419" s="4" t="str">
        <f>Sheet1!J419</f>
        <v>Eildon EstateLindula</v>
      </c>
      <c r="H419" s="5" t="str">
        <f t="shared" si="1"/>
        <v xml:space="preserve"> View Map </v>
      </c>
    </row>
    <row r="420" spans="2:8" x14ac:dyDescent="0.2">
      <c r="B420" s="4" t="str">
        <f>PROPER(Sheet1!$B420&amp;" "&amp;"Tea Factory")</f>
        <v>North Punduloya Tea Factory</v>
      </c>
      <c r="F420" s="4" t="str">
        <f>Sheet1!G420</f>
        <v>Pundalu Oya</v>
      </c>
      <c r="G420" s="4" t="str">
        <f>Sheet1!J420</f>
        <v>Punduloya</v>
      </c>
      <c r="H420" s="5" t="str">
        <f t="shared" si="1"/>
        <v xml:space="preserve"> View Map </v>
      </c>
    </row>
    <row r="421" spans="2:8" x14ac:dyDescent="0.2">
      <c r="B421" s="4" t="str">
        <f>PROPER(Sheet1!$B421&amp;" "&amp;"Tea Factory")</f>
        <v>Harangalla Tea Factory</v>
      </c>
      <c r="F421" s="4">
        <f>Sheet1!G421</f>
        <v>0</v>
      </c>
      <c r="G421" s="4" t="str">
        <f>Sheet1!J421</f>
        <v>Kataboola viaNawalapitiya</v>
      </c>
      <c r="H421" s="5" t="str">
        <f t="shared" si="1"/>
        <v xml:space="preserve"> View Map </v>
      </c>
    </row>
    <row r="422" spans="2:8" x14ac:dyDescent="0.2">
      <c r="B422" s="4" t="str">
        <f>PROPER(Sheet1!$B422&amp;" "&amp;"Tea Factory")</f>
        <v>Sanquhar  Tea Factory</v>
      </c>
      <c r="F422" s="4" t="str">
        <f>Sheet1!G422</f>
        <v>Attabage</v>
      </c>
      <c r="G422" s="4" t="str">
        <f>Sheet1!J422</f>
        <v>Sanquhar Estate,Paradeka.</v>
      </c>
      <c r="H422" s="5" t="str">
        <f t="shared" si="1"/>
        <v xml:space="preserve"> View Map </v>
      </c>
    </row>
    <row r="423" spans="2:8" x14ac:dyDescent="0.2">
      <c r="B423" s="4" t="str">
        <f>PROPER(Sheet1!$B423&amp;" "&amp;"Tea Factory")</f>
        <v>Millakande Tea Factory</v>
      </c>
      <c r="F423" s="4">
        <f>Sheet1!G423</f>
        <v>0</v>
      </c>
      <c r="G423" s="4">
        <f>Sheet1!J423</f>
        <v>0</v>
      </c>
      <c r="H423" s="5" t="str">
        <f t="shared" si="1"/>
        <v xml:space="preserve"> View Map </v>
      </c>
    </row>
    <row r="424" spans="2:8" x14ac:dyDescent="0.2">
      <c r="B424" s="4" t="str">
        <f>PROPER(Sheet1!$B424&amp;" "&amp;"Tea Factory")</f>
        <v>Venture Tea Factory</v>
      </c>
      <c r="F424" s="4">
        <f>Sheet1!G424</f>
        <v>0</v>
      </c>
      <c r="G424" s="4" t="str">
        <f>Sheet1!J424</f>
        <v>Norwood GroupAmbagamuwaNuwara Eliya</v>
      </c>
      <c r="H424" s="5" t="str">
        <f t="shared" si="1"/>
        <v xml:space="preserve"> View Map </v>
      </c>
    </row>
    <row r="425" spans="2:8" x14ac:dyDescent="0.2">
      <c r="B425" s="4" t="str">
        <f>PROPER(Sheet1!$B425&amp;" "&amp;"Tea Factory")</f>
        <v>Maligakanda Tea Factory</v>
      </c>
      <c r="F425" s="4">
        <f>Sheet1!G425</f>
        <v>0</v>
      </c>
      <c r="G425" s="4" t="str">
        <f>Sheet1!J425</f>
        <v>Galatha,Gampola.</v>
      </c>
      <c r="H425" s="5" t="str">
        <f t="shared" si="1"/>
        <v xml:space="preserve"> View Map </v>
      </c>
    </row>
    <row r="426" spans="2:8" x14ac:dyDescent="0.2">
      <c r="B426" s="4" t="str">
        <f>PROPER(Sheet1!$B426&amp;" "&amp;"Tea Factory")</f>
        <v>Pitigala Tea Factory</v>
      </c>
      <c r="F426" s="4" t="str">
        <f>Sheet1!G426</f>
        <v>Pitigala</v>
      </c>
      <c r="G426" s="4" t="str">
        <f>Sheet1!J426</f>
        <v>Indurupathwila, Pitigala</v>
      </c>
      <c r="H426" s="5" t="str">
        <f t="shared" si="1"/>
        <v xml:space="preserve"> View Map </v>
      </c>
    </row>
    <row r="427" spans="2:8" x14ac:dyDescent="0.2">
      <c r="B427" s="4" t="str">
        <f>PROPER(Sheet1!$B427&amp;" "&amp;"Tea Factory")</f>
        <v>Lonach Group Tea Factory</v>
      </c>
      <c r="F427" s="4">
        <f>Sheet1!G427</f>
        <v>0</v>
      </c>
      <c r="G427" s="4">
        <f>Sheet1!J427</f>
        <v>0</v>
      </c>
      <c r="H427" s="5" t="str">
        <f t="shared" si="1"/>
        <v xml:space="preserve"> View Map </v>
      </c>
    </row>
    <row r="428" spans="2:8" x14ac:dyDescent="0.2">
      <c r="B428" s="4" t="str">
        <f>PROPER(Sheet1!$B428&amp;" "&amp;"Tea Factory")</f>
        <v>Waulugala Tea Factory</v>
      </c>
      <c r="F428" s="4" t="str">
        <f>Sheet1!G428</f>
        <v>Haupe</v>
      </c>
      <c r="G428" s="4" t="str">
        <f>Sheet1!J428</f>
        <v>Waulugala Group ,HaupeImaduwa</v>
      </c>
      <c r="H428" s="5" t="str">
        <f t="shared" si="1"/>
        <v xml:space="preserve"> View Map </v>
      </c>
    </row>
    <row r="429" spans="2:8" x14ac:dyDescent="0.2">
      <c r="B429" s="4" t="str">
        <f>PROPER(Sheet1!$B429&amp;" "&amp;"Tea Factory")</f>
        <v>Weewarugoda Tea Factory</v>
      </c>
      <c r="F429" s="4" t="str">
        <f>Sheet1!G429</f>
        <v>Nabadawa</v>
      </c>
      <c r="G429" s="4" t="str">
        <f>Sheet1!J429</f>
        <v>NabadawaYakkalamullaGalle</v>
      </c>
      <c r="H429" s="5" t="str">
        <f t="shared" si="1"/>
        <v xml:space="preserve"> View Map </v>
      </c>
    </row>
    <row r="430" spans="2:8" x14ac:dyDescent="0.2">
      <c r="B430" s="4" t="str">
        <f>PROPER(Sheet1!$B430&amp;" "&amp;"Tea Factory")</f>
        <v>Mahavila Tea Factory</v>
      </c>
      <c r="F430" s="4">
        <f>Sheet1!G430</f>
        <v>0</v>
      </c>
      <c r="G430" s="4" t="str">
        <f>Sheet1!J430</f>
        <v>Mahavilla,Ulapane.</v>
      </c>
      <c r="H430" s="5" t="str">
        <f t="shared" si="1"/>
        <v xml:space="preserve"> View Map </v>
      </c>
    </row>
    <row r="431" spans="2:8" x14ac:dyDescent="0.2">
      <c r="B431" s="4" t="str">
        <f>PROPER(Sheet1!$B431&amp;" "&amp;"Tea Factory")</f>
        <v>West Hall  Tea Factory</v>
      </c>
      <c r="F431" s="4">
        <f>Sheet1!G431</f>
        <v>0</v>
      </c>
      <c r="G431" s="4" t="str">
        <f>Sheet1!J431</f>
        <v>West Hall EstateKotmale</v>
      </c>
      <c r="H431" s="5" t="str">
        <f t="shared" si="1"/>
        <v xml:space="preserve"> View Map </v>
      </c>
    </row>
    <row r="432" spans="2:8" x14ac:dyDescent="0.2">
      <c r="B432" s="4" t="str">
        <f>PROPER(Sheet1!$B432&amp;" "&amp;"Tea Factory")</f>
        <v>Havenwewa Tea Factory</v>
      </c>
      <c r="F432" s="4" t="str">
        <f>Sheet1!G432</f>
        <v>Pundaluoya South</v>
      </c>
      <c r="G432" s="4" t="str">
        <f>Sheet1!J432</f>
        <v>Pundaluoya</v>
      </c>
      <c r="H432" s="5" t="str">
        <f t="shared" si="1"/>
        <v xml:space="preserve"> View Map </v>
      </c>
    </row>
    <row r="433" spans="2:8" x14ac:dyDescent="0.2">
      <c r="B433" s="4" t="str">
        <f>PROPER(Sheet1!$B433&amp;" "&amp;"Tea Factory")</f>
        <v>Nagoda Tea Factory</v>
      </c>
      <c r="F433" s="4">
        <f>Sheet1!G433</f>
        <v>0</v>
      </c>
      <c r="G433" s="4">
        <f>Sheet1!J433</f>
        <v>0</v>
      </c>
      <c r="H433" s="5" t="str">
        <f t="shared" si="1"/>
        <v xml:space="preserve"> View Map </v>
      </c>
    </row>
    <row r="434" spans="2:8" x14ac:dyDescent="0.2">
      <c r="B434" s="4" t="str">
        <f>PROPER(Sheet1!$B434&amp;" "&amp;"Tea Factory")</f>
        <v>Melfort Tea Factory</v>
      </c>
      <c r="F434" s="4" t="str">
        <f>Sheet1!G434</f>
        <v>Pussellawa</v>
      </c>
      <c r="G434" s="4" t="str">
        <f>Sheet1!J434</f>
        <v>Melfort EstatePussellawa</v>
      </c>
      <c r="H434" s="5" t="str">
        <f t="shared" si="1"/>
        <v xml:space="preserve"> View Map </v>
      </c>
    </row>
    <row r="435" spans="2:8" x14ac:dyDescent="0.2">
      <c r="B435" s="4" t="str">
        <f>PROPER(Sheet1!$B435&amp;" "&amp;"Tea Factory")</f>
        <v>St Theresia Tea Factory</v>
      </c>
      <c r="F435" s="4">
        <f>Sheet1!G435</f>
        <v>0</v>
      </c>
      <c r="G435" s="4" t="str">
        <f>Sheet1!J435</f>
        <v>Theresia EstateBogawanthalawa</v>
      </c>
      <c r="H435" s="5" t="str">
        <f t="shared" si="1"/>
        <v xml:space="preserve"> View Map </v>
      </c>
    </row>
    <row r="436" spans="2:8" x14ac:dyDescent="0.2">
      <c r="B436" s="4" t="str">
        <f>PROPER(Sheet1!$B436&amp;" "&amp;"Tea Factory")</f>
        <v>Dotel Oya  Tea Factory</v>
      </c>
      <c r="F436" s="4" t="str">
        <f>Sheet1!G436</f>
        <v>Ganthuna</v>
      </c>
      <c r="G436" s="4" t="str">
        <f>Sheet1!J436</f>
        <v>Dotaloya GroupDolosbage</v>
      </c>
      <c r="H436" s="5" t="str">
        <f t="shared" si="1"/>
        <v xml:space="preserve"> View Map </v>
      </c>
    </row>
    <row r="437" spans="2:8" x14ac:dyDescent="0.2">
      <c r="B437" s="4" t="str">
        <f>PROPER(Sheet1!$B437&amp;" "&amp;"Tea Factory")</f>
        <v>Duckwari  Tea Factory</v>
      </c>
      <c r="F437" s="4" t="str">
        <f>Sheet1!G437</f>
        <v>Waradiwela</v>
      </c>
      <c r="G437" s="4" t="str">
        <f>Sheet1!J437</f>
        <v>Duckwari Estate,Rangala</v>
      </c>
      <c r="H437" s="5" t="str">
        <f t="shared" si="1"/>
        <v xml:space="preserve"> View Map </v>
      </c>
    </row>
    <row r="438" spans="2:8" x14ac:dyDescent="0.2">
      <c r="B438" s="4" t="str">
        <f>PROPER(Sheet1!$B438&amp;" "&amp;"Tea Factory")</f>
        <v>Koslanda  Tea Factory</v>
      </c>
      <c r="F438" s="4" t="str">
        <f>Sheet1!G438</f>
        <v>Koslanda</v>
      </c>
      <c r="G438" s="4" t="str">
        <f>Sheet1!J438</f>
        <v>Koslanda EstateNo 86Etampitiya</v>
      </c>
      <c r="H438" s="5" t="str">
        <f t="shared" si="1"/>
        <v xml:space="preserve"> View Map </v>
      </c>
    </row>
    <row r="439" spans="2:8" x14ac:dyDescent="0.2">
      <c r="B439" s="4" t="str">
        <f>PROPER(Sheet1!$B439&amp;" "&amp;"Tea Factory")</f>
        <v>Akerella Tea Factory</v>
      </c>
      <c r="F439" s="4">
        <f>Sheet1!G439</f>
        <v>0</v>
      </c>
      <c r="G439" s="4" t="str">
        <f>Sheet1!J439</f>
        <v>Opanayake.</v>
      </c>
      <c r="H439" s="5" t="str">
        <f t="shared" si="1"/>
        <v xml:space="preserve"> View Map </v>
      </c>
    </row>
    <row r="440" spans="2:8" x14ac:dyDescent="0.2">
      <c r="B440" s="4" t="str">
        <f>PROPER(Sheet1!$B440&amp;" "&amp;"Tea Factory")</f>
        <v>Weddemulla Tea Factory</v>
      </c>
      <c r="F440" s="4" t="str">
        <f>Sheet1!G440</f>
        <v>Weddamulla</v>
      </c>
      <c r="G440" s="4" t="str">
        <f>Sheet1!J440</f>
        <v>Wedamulla EstateRamboda</v>
      </c>
      <c r="H440" s="5" t="str">
        <f t="shared" si="1"/>
        <v xml:space="preserve"> View Map </v>
      </c>
    </row>
    <row r="441" spans="2:8" x14ac:dyDescent="0.2">
      <c r="B441" s="4" t="str">
        <f>PROPER(Sheet1!$B441&amp;" "&amp;"Tea Factory")</f>
        <v>Maliboda Tea Factory</v>
      </c>
      <c r="F441" s="4">
        <f>Sheet1!G441</f>
        <v>0</v>
      </c>
      <c r="G441" s="4" t="str">
        <f>Sheet1!J441</f>
        <v>Maliboda Estate,Maliboda.</v>
      </c>
      <c r="H441" s="5" t="str">
        <f t="shared" si="1"/>
        <v xml:space="preserve"> View Map </v>
      </c>
    </row>
    <row r="442" spans="2:8" x14ac:dyDescent="0.2">
      <c r="B442" s="4" t="str">
        <f>PROPER(Sheet1!$B442&amp;" "&amp;"Tea Factory")</f>
        <v>Millavitiya  Tea Factory</v>
      </c>
      <c r="F442" s="4">
        <f>Sheet1!G442</f>
        <v>0</v>
      </c>
      <c r="G442" s="4" t="str">
        <f>Sheet1!J442</f>
        <v>Millawitiya EstateRatnapura</v>
      </c>
      <c r="H442" s="5" t="str">
        <f t="shared" si="1"/>
        <v xml:space="preserve"> View Map </v>
      </c>
    </row>
    <row r="443" spans="2:8" x14ac:dyDescent="0.2">
      <c r="B443" s="4" t="str">
        <f>PROPER(Sheet1!$B443&amp;" "&amp;"Tea Factory")</f>
        <v>Palm Garden Tea Factory</v>
      </c>
      <c r="F443" s="4">
        <f>Sheet1!G443</f>
        <v>0</v>
      </c>
      <c r="G443" s="4" t="str">
        <f>Sheet1!J443</f>
        <v>Palm Garden EstateRatnapura</v>
      </c>
      <c r="H443" s="5" t="str">
        <f t="shared" si="1"/>
        <v xml:space="preserve"> View Map </v>
      </c>
    </row>
    <row r="444" spans="2:8" x14ac:dyDescent="0.2">
      <c r="B444" s="4" t="str">
        <f>PROPER(Sheet1!$B444&amp;" "&amp;"Tea Factory")</f>
        <v>Katandola Tea Factory</v>
      </c>
      <c r="F444" s="4" t="str">
        <f>Sheet1!G444</f>
        <v>Katandola</v>
      </c>
      <c r="G444" s="4" t="str">
        <f>Sheet1!J444</f>
        <v>Katandola EstateElpitiya</v>
      </c>
      <c r="H444" s="5" t="str">
        <f t="shared" si="1"/>
        <v xml:space="preserve"> View Map </v>
      </c>
    </row>
    <row r="445" spans="2:8" x14ac:dyDescent="0.2">
      <c r="B445" s="4" t="str">
        <f>PROPER(Sheet1!$B445&amp;" "&amp;"Tea Factory")</f>
        <v>Captain Garden  Tea Factory</v>
      </c>
      <c r="F445" s="4" t="str">
        <f>Sheet1!G445</f>
        <v>Amalgama</v>
      </c>
      <c r="G445" s="4" t="str">
        <f>Sheet1!J445</f>
        <v>Gonamulla Junction,Galle.</v>
      </c>
      <c r="H445" s="5" t="str">
        <f t="shared" si="1"/>
        <v xml:space="preserve"> View Map </v>
      </c>
    </row>
    <row r="446" spans="2:8" x14ac:dyDescent="0.2">
      <c r="B446" s="4" t="str">
        <f>PROPER(Sheet1!$B446&amp;" "&amp;"Tea Factory")</f>
        <v>Allerton Tea Factory</v>
      </c>
      <c r="F446" s="4" t="str">
        <f>Sheet1!G446</f>
        <v>Rakwana</v>
      </c>
      <c r="G446" s="4" t="str">
        <f>Sheet1!J446</f>
        <v>Deniyaya RoadRakwana</v>
      </c>
      <c r="H446" s="5" t="str">
        <f t="shared" si="1"/>
        <v xml:space="preserve"> View Map </v>
      </c>
    </row>
    <row r="447" spans="2:8" x14ac:dyDescent="0.2">
      <c r="B447" s="4" t="str">
        <f>PROPER(Sheet1!$B447&amp;" "&amp;"Tea Factory")</f>
        <v>Beauvais  Tea Factory</v>
      </c>
      <c r="F447" s="4" t="str">
        <f>Sheet1!G447</f>
        <v>Haputalegama</v>
      </c>
      <c r="G447" s="4" t="str">
        <f>Sheet1!J447</f>
        <v>IdulgashinnaWelimadaBandarawela</v>
      </c>
      <c r="H447" s="5" t="str">
        <f t="shared" si="1"/>
        <v xml:space="preserve"> View Map </v>
      </c>
    </row>
    <row r="448" spans="2:8" x14ac:dyDescent="0.2">
      <c r="B448" s="4" t="str">
        <f>PROPER(Sheet1!$B448&amp;" "&amp;"Tea Factory")</f>
        <v>Dumbara Tea Factory</v>
      </c>
      <c r="F448" s="4" t="str">
        <f>Sheet1!G448</f>
        <v>Dumbara</v>
      </c>
      <c r="G448" s="4" t="str">
        <f>Sheet1!J448</f>
        <v>Minipura,Dumbara.</v>
      </c>
      <c r="H448" s="5" t="str">
        <f t="shared" si="1"/>
        <v xml:space="preserve"> View Map </v>
      </c>
    </row>
    <row r="449" spans="2:8" x14ac:dyDescent="0.2">
      <c r="B449" s="4" t="str">
        <f>PROPER(Sheet1!$B449&amp;" "&amp;"Tea Factory")</f>
        <v>Vardhana Tea Factory</v>
      </c>
      <c r="F449" s="4" t="str">
        <f>Sheet1!G449</f>
        <v>Berenduwa</v>
      </c>
      <c r="G449" s="4" t="str">
        <f>Sheet1!J449</f>
        <v>Lellopitiya Estate,Lellopitiya,Ratnapura.</v>
      </c>
      <c r="H449" s="5" t="str">
        <f t="shared" si="1"/>
        <v xml:space="preserve"> View Map </v>
      </c>
    </row>
    <row r="450" spans="2:8" x14ac:dyDescent="0.2">
      <c r="B450" s="4" t="str">
        <f>PROPER(Sheet1!$B450&amp;" "&amp;"Tea Factory")</f>
        <v>Stafford Tea Factory</v>
      </c>
      <c r="F450" s="4">
        <f>Sheet1!G450</f>
        <v>0</v>
      </c>
      <c r="G450" s="4">
        <f>Sheet1!J450</f>
        <v>0</v>
      </c>
      <c r="H450" s="5" t="str">
        <f t="shared" si="1"/>
        <v xml:space="preserve"> View Map </v>
      </c>
    </row>
    <row r="451" spans="2:8" x14ac:dyDescent="0.2">
      <c r="B451" s="4" t="str">
        <f>PROPER(Sheet1!$B451&amp;" "&amp;"Tea Factory")</f>
        <v>Wicklow Hills Tea Factory</v>
      </c>
      <c r="F451" s="4" t="str">
        <f>Sheet1!G451</f>
        <v>Wanduramba</v>
      </c>
      <c r="G451" s="4" t="str">
        <f>Sheet1!J451</f>
        <v>Wicklow Hills WattaWanduramba</v>
      </c>
      <c r="H451" s="5" t="str">
        <f t="shared" si="1"/>
        <v xml:space="preserve"> View Map </v>
      </c>
    </row>
    <row r="452" spans="2:8" x14ac:dyDescent="0.2">
      <c r="B452" s="4" t="str">
        <f>PROPER(Sheet1!$B452&amp;" "&amp;"Tea Factory")</f>
        <v>Craigie Lea Tea Factory</v>
      </c>
      <c r="F452" s="4">
        <f>Sheet1!G452</f>
        <v>0</v>
      </c>
      <c r="G452" s="4" t="str">
        <f>Sheet1!J452</f>
        <v>Craigie Lea EstatePathana</v>
      </c>
      <c r="H452" s="5" t="str">
        <f t="shared" si="1"/>
        <v xml:space="preserve"> View Map </v>
      </c>
    </row>
    <row r="453" spans="2:8" x14ac:dyDescent="0.2">
      <c r="B453" s="4" t="str">
        <f>PROPER(Sheet1!$B453&amp;" "&amp;"Tea Factory")</f>
        <v>Delmar Tea Factory</v>
      </c>
      <c r="F453" s="4">
        <f>Sheet1!G453</f>
        <v>0</v>
      </c>
      <c r="G453" s="4" t="str">
        <f>Sheet1!J453</f>
        <v>Delmar Tea FactoryHalgranoya</v>
      </c>
      <c r="H453" s="5" t="str">
        <f t="shared" si="1"/>
        <v xml:space="preserve"> View Map </v>
      </c>
    </row>
    <row r="454" spans="2:8" x14ac:dyDescent="0.2">
      <c r="B454" s="4" t="str">
        <f>PROPER(Sheet1!$B454&amp;" "&amp;"Tea Factory")</f>
        <v>Kandahena  Tea Factory</v>
      </c>
      <c r="F454" s="4">
        <f>Sheet1!G454</f>
        <v>0</v>
      </c>
      <c r="G454" s="4" t="str">
        <f>Sheet1!J454</f>
        <v>Pingarawa,Dewatura.</v>
      </c>
      <c r="H454" s="5" t="str">
        <f t="shared" si="1"/>
        <v xml:space="preserve"> View Map </v>
      </c>
    </row>
    <row r="455" spans="2:8" x14ac:dyDescent="0.2">
      <c r="B455" s="4" t="str">
        <f>PROPER(Sheet1!$B455&amp;" "&amp;"Tea Factory")</f>
        <v>Invery Group Tea Factory</v>
      </c>
      <c r="F455" s="4">
        <f>Sheet1!G455</f>
        <v>0</v>
      </c>
      <c r="G455" s="4">
        <f>Sheet1!J455</f>
        <v>0</v>
      </c>
      <c r="H455" s="5" t="str">
        <f t="shared" si="1"/>
        <v xml:space="preserve"> View Map </v>
      </c>
    </row>
    <row r="456" spans="2:8" x14ac:dyDescent="0.2">
      <c r="B456" s="4" t="str">
        <f>PROPER(Sheet1!$B456&amp;" "&amp;"Tea Factory")</f>
        <v>Rajjuruwatta Tea Factory</v>
      </c>
      <c r="F456" s="4" t="str">
        <f>Sheet1!G456</f>
        <v>samanpura</v>
      </c>
      <c r="G456" s="4" t="str">
        <f>Sheet1!J456</f>
        <v>Rajjuruwatte Kalawana</v>
      </c>
      <c r="H456" s="5" t="str">
        <f t="shared" si="1"/>
        <v xml:space="preserve"> View Map </v>
      </c>
    </row>
    <row r="457" spans="2:8" x14ac:dyDescent="0.2">
      <c r="B457" s="4" t="str">
        <f>PROPER(Sheet1!$B457&amp;" "&amp;"Tea Factory")</f>
        <v>Walpita Tea Factory</v>
      </c>
      <c r="F457" s="4" t="str">
        <f>Sheet1!G457</f>
        <v>Walpita North</v>
      </c>
      <c r="G457" s="4" t="str">
        <f>Sheet1!J457</f>
        <v>Walpita Mgt CompanyPoddala</v>
      </c>
      <c r="H457" s="5" t="str">
        <f t="shared" si="1"/>
        <v xml:space="preserve"> View Map </v>
      </c>
    </row>
    <row r="458" spans="2:8" x14ac:dyDescent="0.2">
      <c r="B458" s="4" t="str">
        <f>PROPER(Sheet1!$B458&amp;" "&amp;"Tea Factory")</f>
        <v>Hapugolle  Tea Factory</v>
      </c>
      <c r="F458" s="4">
        <f>Sheet1!G458</f>
        <v>0</v>
      </c>
      <c r="G458" s="4" t="str">
        <f>Sheet1!J458</f>
        <v>Vilana, UdagamaAkurana</v>
      </c>
      <c r="H458" s="5" t="str">
        <f t="shared" si="1"/>
        <v xml:space="preserve"> View Map </v>
      </c>
    </row>
    <row r="459" spans="2:8" x14ac:dyDescent="0.2">
      <c r="B459" s="4" t="str">
        <f>PROPER(Sheet1!$B459&amp;" "&amp;"Tea Factory")</f>
        <v>Moragalla  Tea Factory</v>
      </c>
      <c r="F459" s="4" t="str">
        <f>Sheet1!G459</f>
        <v>Paragoda</v>
      </c>
      <c r="G459" s="4" t="str">
        <f>Sheet1!J459</f>
        <v>Moragalla EstateImaduwa</v>
      </c>
      <c r="H459" s="5" t="str">
        <f t="shared" si="1"/>
        <v xml:space="preserve"> View Map </v>
      </c>
    </row>
    <row r="460" spans="2:8" x14ac:dyDescent="0.2">
      <c r="B460" s="4" t="str">
        <f>PROPER(Sheet1!$B460&amp;" "&amp;"Tea Factory")</f>
        <v>Wewegoda Tea Factory</v>
      </c>
      <c r="F460" s="4">
        <f>Sheet1!G460</f>
        <v>0</v>
      </c>
      <c r="G460" s="4" t="str">
        <f>Sheet1!J460</f>
        <v>Gonamulla Junction</v>
      </c>
      <c r="H460" s="5" t="str">
        <f t="shared" si="1"/>
        <v xml:space="preserve"> View Map </v>
      </c>
    </row>
    <row r="461" spans="2:8" x14ac:dyDescent="0.2">
      <c r="B461" s="4" t="str">
        <f>PROPER(Sheet1!$B461&amp;" "&amp;"Tea Factory")</f>
        <v>Kumaradasa Tea Factory</v>
      </c>
      <c r="F461" s="4" t="str">
        <f>Sheet1!G461</f>
        <v>Horagoda</v>
      </c>
      <c r="G461" s="4" t="str">
        <f>Sheet1!J461</f>
        <v>ThelijjawilaWeligamaMatara</v>
      </c>
      <c r="H461" s="5" t="str">
        <f t="shared" si="1"/>
        <v xml:space="preserve"> View Map </v>
      </c>
    </row>
    <row r="462" spans="2:8" x14ac:dyDescent="0.2">
      <c r="B462" s="4" t="str">
        <f>PROPER(Sheet1!$B462&amp;" "&amp;"Tea Factory")</f>
        <v>Gatagahawela Tea Factory</v>
      </c>
      <c r="F462" s="4" t="str">
        <f>Sheet1!G462</f>
        <v>Balagahathenna</v>
      </c>
      <c r="G462" s="4" t="str">
        <f>Sheet1!J462</f>
        <v>UdispattuwaRangala</v>
      </c>
      <c r="H462" s="5" t="str">
        <f t="shared" si="1"/>
        <v xml:space="preserve"> View Map </v>
      </c>
    </row>
    <row r="463" spans="2:8" x14ac:dyDescent="0.2">
      <c r="B463" s="4" t="str">
        <f>PROPER(Sheet1!$B463&amp;" "&amp;"Tea Factory")</f>
        <v>Kumbaloluwa Tea Factory</v>
      </c>
      <c r="F463" s="4" t="str">
        <f>Sheet1!G463</f>
        <v>Kumbaloluwa</v>
      </c>
      <c r="G463" s="4" t="str">
        <f>Sheet1!J463</f>
        <v>Kumbaloluwa Estate,Pundaluoya.</v>
      </c>
      <c r="H463" s="5" t="str">
        <f t="shared" si="1"/>
        <v xml:space="preserve"> View Map </v>
      </c>
    </row>
    <row r="464" spans="2:8" x14ac:dyDescent="0.2">
      <c r="B464" s="4" t="str">
        <f>PROPER(Sheet1!$B464&amp;" "&amp;"Tea Factory")</f>
        <v>Wavendon Tea Factory</v>
      </c>
      <c r="F464" s="4">
        <f>Sheet1!G464</f>
        <v>0</v>
      </c>
      <c r="G464" s="4">
        <f>Sheet1!J464</f>
        <v>0</v>
      </c>
      <c r="H464" s="5" t="str">
        <f t="shared" si="1"/>
        <v xml:space="preserve"> View Map </v>
      </c>
    </row>
    <row r="465" spans="2:8" x14ac:dyDescent="0.2">
      <c r="B465" s="4" t="str">
        <f>PROPER(Sheet1!$B465&amp;" "&amp;"Tea Factory")</f>
        <v xml:space="preserve"> Keppetipola Tea Shakthi Tea Factory</v>
      </c>
      <c r="F465" s="4" t="str">
        <f>Sheet1!G465</f>
        <v>Welimada</v>
      </c>
      <c r="G465" s="4" t="str">
        <f>Sheet1!J465</f>
        <v>Nugatalawa,Welimada</v>
      </c>
      <c r="H465" s="5" t="str">
        <f t="shared" si="1"/>
        <v xml:space="preserve"> View Map </v>
      </c>
    </row>
    <row r="466" spans="2:8" x14ac:dyDescent="0.2">
      <c r="B466" s="4" t="str">
        <f>PROPER(Sheet1!$B466&amp;" "&amp;"Tea Factory")</f>
        <v>Hapugahawatte  Tea Factory</v>
      </c>
      <c r="F466" s="4" t="str">
        <f>Sheet1!G466</f>
        <v>Helakadaragama</v>
      </c>
      <c r="G466" s="4" t="str">
        <f>Sheet1!J466</f>
        <v>Hapugahawatta EstateDiyathalawa</v>
      </c>
      <c r="H466" s="5" t="str">
        <f t="shared" si="1"/>
        <v xml:space="preserve"> View Map </v>
      </c>
    </row>
    <row r="467" spans="2:8" x14ac:dyDescent="0.2">
      <c r="B467" s="4" t="str">
        <f>PROPER(Sheet1!$B467&amp;" "&amp;"Tea Factory")</f>
        <v>Semidale Tea Factory</v>
      </c>
      <c r="F467" s="4" t="str">
        <f>Sheet1!G467</f>
        <v>Henagama</v>
      </c>
      <c r="G467" s="4" t="str">
        <f>Sheet1!J467</f>
        <v>HenegamaAkuressa</v>
      </c>
      <c r="H467" s="5" t="str">
        <f t="shared" si="1"/>
        <v xml:space="preserve"> View Map </v>
      </c>
    </row>
    <row r="468" spans="2:8" x14ac:dyDescent="0.2">
      <c r="B468" s="4" t="str">
        <f>PROPER(Sheet1!$B468&amp;" "&amp;"Tea Factory")</f>
        <v>Willie Group Tea Factory</v>
      </c>
      <c r="F468" s="4">
        <f>Sheet1!G468</f>
        <v>0</v>
      </c>
      <c r="G468" s="4" t="str">
        <f>Sheet1!J468</f>
        <v>Willie Group Deniyaya</v>
      </c>
      <c r="H468" s="5" t="str">
        <f t="shared" si="1"/>
        <v xml:space="preserve"> View Map </v>
      </c>
    </row>
    <row r="469" spans="2:8" x14ac:dyDescent="0.2">
      <c r="B469" s="4" t="str">
        <f>PROPER(Sheet1!$B469&amp;" "&amp;"Tea Factory")</f>
        <v>Mincing Lane Tea Factory</v>
      </c>
      <c r="F469" s="4">
        <f>Sheet1!G469</f>
        <v>0</v>
      </c>
      <c r="G469" s="4" t="str">
        <f>Sheet1!J469</f>
        <v>Mincing Lane, Upcot.</v>
      </c>
      <c r="H469" s="5" t="str">
        <f t="shared" si="1"/>
        <v xml:space="preserve"> View Map </v>
      </c>
    </row>
    <row r="470" spans="2:8" x14ac:dyDescent="0.2">
      <c r="B470" s="4" t="str">
        <f>PROPER(Sheet1!$B470&amp;" "&amp;"Tea Factory")</f>
        <v>Annfield Tea Factory</v>
      </c>
      <c r="F470" s="4" t="str">
        <f>Sheet1!G470</f>
        <v>Dick Oya</v>
      </c>
      <c r="G470" s="4" t="str">
        <f>Sheet1!J470</f>
        <v>Annfield EstateDick Oya</v>
      </c>
      <c r="H470" s="5" t="str">
        <f t="shared" si="1"/>
        <v xml:space="preserve"> View Map </v>
      </c>
    </row>
    <row r="471" spans="2:8" x14ac:dyDescent="0.2">
      <c r="B471" s="4" t="str">
        <f>PROPER(Sheet1!$B471&amp;" "&amp;"Tea Factory")</f>
        <v>Cocogalla  Tea Factory</v>
      </c>
      <c r="F471" s="4">
        <f>Sheet1!G471</f>
        <v>0</v>
      </c>
      <c r="G471" s="4" t="str">
        <f>Sheet1!J471</f>
        <v>Kokagala EstateBadulla</v>
      </c>
      <c r="H471" s="5" t="str">
        <f t="shared" si="1"/>
        <v xml:space="preserve"> View Map </v>
      </c>
    </row>
    <row r="472" spans="2:8" x14ac:dyDescent="0.2">
      <c r="B472" s="4" t="str">
        <f>PROPER(Sheet1!$B472&amp;" "&amp;"Tea Factory")</f>
        <v>Haputale Tea Factory</v>
      </c>
      <c r="F472" s="4">
        <f>Sheet1!G472</f>
        <v>0</v>
      </c>
      <c r="G472" s="4" t="str">
        <f>Sheet1!J472</f>
        <v>63A, HaputaleBadulla</v>
      </c>
      <c r="H472" s="5" t="str">
        <f t="shared" si="1"/>
        <v xml:space="preserve"> View Map </v>
      </c>
    </row>
    <row r="473" spans="2:8" x14ac:dyDescent="0.2">
      <c r="B473" s="4" t="str">
        <f>PROPER(Sheet1!$B473&amp;" "&amp;"Tea Factory")</f>
        <v>Kaipoogalla Tea Factory</v>
      </c>
      <c r="F473" s="4">
        <f>Sheet1!G473</f>
        <v>0</v>
      </c>
      <c r="G473" s="4" t="str">
        <f>Sheet1!J473</f>
        <v>Fernland Estate</v>
      </c>
      <c r="H473" s="5" t="str">
        <f t="shared" si="1"/>
        <v xml:space="preserve"> View Map </v>
      </c>
    </row>
    <row r="474" spans="2:8" x14ac:dyDescent="0.2">
      <c r="B474" s="4" t="str">
        <f>PROPER(Sheet1!$B474&amp;" "&amp;"Tea Factory")</f>
        <v>Leangawella Tea Factory</v>
      </c>
      <c r="F474" s="4">
        <f>Sheet1!G474</f>
        <v>0</v>
      </c>
      <c r="G474" s="4" t="str">
        <f>Sheet1!J474</f>
        <v>Poonagalla Road, Liyangahawela</v>
      </c>
      <c r="H474" s="5" t="str">
        <f t="shared" si="1"/>
        <v xml:space="preserve"> View Map </v>
      </c>
    </row>
    <row r="475" spans="2:8" x14ac:dyDescent="0.2">
      <c r="B475" s="4" t="str">
        <f>PROPER(Sheet1!$B475&amp;" "&amp;"Tea Factory")</f>
        <v>Mahadowa  Tea Factory</v>
      </c>
      <c r="F475" s="4">
        <f>Sheet1!G475</f>
        <v>0</v>
      </c>
      <c r="G475" s="4" t="str">
        <f>Sheet1!J475</f>
        <v>Mahadowa GroupMadulsima</v>
      </c>
      <c r="H475" s="5" t="str">
        <f t="shared" si="1"/>
        <v xml:space="preserve"> View Map </v>
      </c>
    </row>
    <row r="476" spans="2:8" x14ac:dyDescent="0.2">
      <c r="B476" s="4" t="str">
        <f>PROPER(Sheet1!$B476&amp;" "&amp;"Tea Factory")</f>
        <v>Sarina Group Tea Factory</v>
      </c>
      <c r="F476" s="4">
        <f>Sheet1!G476</f>
        <v>0</v>
      </c>
      <c r="G476" s="4" t="str">
        <f>Sheet1!J476</f>
        <v>Sarnia Estate,</v>
      </c>
      <c r="H476" s="5" t="str">
        <f t="shared" si="1"/>
        <v xml:space="preserve"> View Map </v>
      </c>
    </row>
    <row r="477" spans="2:8" x14ac:dyDescent="0.2">
      <c r="B477" s="4" t="str">
        <f>PROPER(Sheet1!$B477&amp;" "&amp;"Tea Factory")</f>
        <v>Harvest Tea Factory</v>
      </c>
      <c r="F477" s="4">
        <f>Sheet1!G477</f>
        <v>0</v>
      </c>
      <c r="G477" s="4" t="str">
        <f>Sheet1!J477</f>
        <v>PinnawalaImbulpeRatnapura</v>
      </c>
      <c r="H477" s="5" t="str">
        <f t="shared" si="1"/>
        <v xml:space="preserve"> View Map </v>
      </c>
    </row>
    <row r="478" spans="2:8" x14ac:dyDescent="0.2">
      <c r="B478" s="4" t="str">
        <f>PROPER(Sheet1!$B478&amp;" "&amp;"Tea Factory")</f>
        <v>Roeberry  Tea Factory</v>
      </c>
      <c r="F478" s="4">
        <f>Sheet1!G478</f>
        <v>0</v>
      </c>
      <c r="G478" s="4" t="str">
        <f>Sheet1!J478</f>
        <v>Roeberry GroupPitamaruwaMadulsima</v>
      </c>
      <c r="H478" s="5" t="str">
        <f t="shared" si="1"/>
        <v xml:space="preserve"> View Map </v>
      </c>
    </row>
    <row r="479" spans="2:8" x14ac:dyDescent="0.2">
      <c r="B479" s="4" t="str">
        <f>PROPER(Sheet1!$B479&amp;" "&amp;"Tea Factory")</f>
        <v>Shannon Tea Factory</v>
      </c>
      <c r="F479" s="4" t="str">
        <f>Sheet1!G479</f>
        <v>Hatton</v>
      </c>
      <c r="G479" s="4" t="str">
        <f>Sheet1!J479</f>
        <v>Shannon EstateHatton.</v>
      </c>
      <c r="H479" s="5" t="str">
        <f t="shared" si="1"/>
        <v xml:space="preserve"> View Map </v>
      </c>
    </row>
    <row r="480" spans="2:8" x14ac:dyDescent="0.2">
      <c r="B480" s="4" t="str">
        <f>PROPER(Sheet1!$B480&amp;" "&amp;"Tea Factory")</f>
        <v>Diddenipota Tea Factory</v>
      </c>
      <c r="F480" s="4" t="str">
        <f>Sheet1!G480</f>
        <v>Diddenipotha</v>
      </c>
      <c r="G480" s="4" t="str">
        <f>Sheet1!J480</f>
        <v>Diddenipota EstateMulatiyana JunctionMulatiyanaMatara</v>
      </c>
      <c r="H480" s="5" t="str">
        <f t="shared" si="1"/>
        <v xml:space="preserve"> View Map </v>
      </c>
    </row>
    <row r="481" spans="2:8" x14ac:dyDescent="0.2">
      <c r="B481" s="4" t="str">
        <f>PROPER(Sheet1!$B481&amp;" "&amp;"Tea Factory")</f>
        <v>Iththagala Tea Factory</v>
      </c>
      <c r="F481" s="4" t="str">
        <f>Sheet1!G481</f>
        <v>Watawala</v>
      </c>
      <c r="G481" s="4" t="str">
        <f>Sheet1!J481</f>
        <v>Pangirihena,Wattawana, Imaduwa.</v>
      </c>
      <c r="H481" s="5" t="str">
        <f t="shared" si="1"/>
        <v xml:space="preserve"> View Map </v>
      </c>
    </row>
    <row r="482" spans="2:8" x14ac:dyDescent="0.2">
      <c r="B482" s="4" t="str">
        <f>PROPER(Sheet1!$B482&amp;" "&amp;"Tea Factory")</f>
        <v>Lebanon Tea Factory</v>
      </c>
      <c r="F482" s="4">
        <f>Sheet1!G482</f>
        <v>0</v>
      </c>
      <c r="G482" s="4">
        <f>Sheet1!J482</f>
        <v>0</v>
      </c>
      <c r="H482" s="5" t="str">
        <f t="shared" si="1"/>
        <v xml:space="preserve"> View Map </v>
      </c>
    </row>
    <row r="483" spans="2:8" x14ac:dyDescent="0.2">
      <c r="B483" s="4" t="str">
        <f>PROPER(Sheet1!$B483&amp;" "&amp;"Tea Factory")</f>
        <v>Allan Valley Tea Factory</v>
      </c>
      <c r="F483" s="4" t="str">
        <f>Sheet1!G483</f>
        <v>Waralla</v>
      </c>
      <c r="G483" s="4" t="str">
        <f>Sheet1!J483</f>
        <v>KotapolaMatara</v>
      </c>
      <c r="H483" s="5" t="str">
        <f t="shared" si="1"/>
        <v xml:space="preserve"> View Map </v>
      </c>
    </row>
    <row r="484" spans="2:8" x14ac:dyDescent="0.2">
      <c r="B484" s="4" t="str">
        <f>PROPER(Sheet1!$B484&amp;" "&amp;"Tea Factory")</f>
        <v>Hapugastenna Tea Factory</v>
      </c>
      <c r="F484" s="4" t="str">
        <f>Sheet1!G484</f>
        <v>Maskeliya</v>
      </c>
      <c r="G484" s="4" t="str">
        <f>Sheet1!J484</f>
        <v>Hapugastenna Estate,Maskeliya.</v>
      </c>
      <c r="H484" s="5" t="str">
        <f t="shared" si="1"/>
        <v xml:space="preserve"> View Map </v>
      </c>
    </row>
    <row r="485" spans="2:8" x14ac:dyDescent="0.2">
      <c r="B485" s="4" t="str">
        <f>PROPER(Sheet1!$B485&amp;" "&amp;"Tea Factory")</f>
        <v>Wijesiri Tea Factory</v>
      </c>
      <c r="F485" s="4" t="str">
        <f>Sheet1!G485</f>
        <v>Nugadanda Ihalagama</v>
      </c>
      <c r="G485" s="4" t="str">
        <f>Sheet1!J485</f>
        <v>Karadana</v>
      </c>
      <c r="H485" s="5" t="str">
        <f t="shared" si="1"/>
        <v xml:space="preserve"> View Map </v>
      </c>
    </row>
    <row r="486" spans="2:8" x14ac:dyDescent="0.2">
      <c r="B486" s="4" t="str">
        <f>PROPER(Sheet1!$B486&amp;" "&amp;"Tea Factory")</f>
        <v>Nildiya Valley Tea Factory</v>
      </c>
      <c r="F486" s="4" t="str">
        <f>Sheet1!G486</f>
        <v>Godapitiya</v>
      </c>
      <c r="G486" s="4" t="str">
        <f>Sheet1!J486</f>
        <v>AkuressaMatara</v>
      </c>
      <c r="H486" s="5" t="str">
        <f t="shared" si="1"/>
        <v xml:space="preserve"> View Map </v>
      </c>
    </row>
    <row r="487" spans="2:8" x14ac:dyDescent="0.2">
      <c r="B487" s="4" t="str">
        <f>PROPER(Sheet1!$B487&amp;" "&amp;"Tea Factory")</f>
        <v>Zion Hill Tea Factory</v>
      </c>
      <c r="F487" s="4">
        <f>Sheet1!G487</f>
        <v>0</v>
      </c>
      <c r="G487" s="4" t="str">
        <f>Sheet1!J487</f>
        <v>WaththehenaAtabageGampola</v>
      </c>
      <c r="H487" s="5" t="str">
        <f t="shared" si="1"/>
        <v xml:space="preserve"> View Map </v>
      </c>
    </row>
    <row r="488" spans="2:8" x14ac:dyDescent="0.2">
      <c r="B488" s="4" t="str">
        <f>PROPER(Sheet1!$B488&amp;" "&amp;"Tea Factory")</f>
        <v>Brookside Tea Factory</v>
      </c>
      <c r="F488" s="4">
        <f>Sheet1!G488</f>
        <v>0</v>
      </c>
      <c r="G488" s="4" t="str">
        <f>Sheet1!J488</f>
        <v>HalgranoyaWalapane</v>
      </c>
      <c r="H488" s="5" t="str">
        <f t="shared" si="1"/>
        <v xml:space="preserve"> View Map </v>
      </c>
    </row>
    <row r="489" spans="2:8" x14ac:dyDescent="0.2">
      <c r="B489" s="4" t="str">
        <f>PROPER(Sheet1!$B489&amp;" "&amp;"Tea Factory")</f>
        <v>Galaboda Tea Factory</v>
      </c>
      <c r="F489" s="4">
        <f>Sheet1!G489</f>
        <v>0</v>
      </c>
      <c r="G489" s="4" t="str">
        <f>Sheet1!J489</f>
        <v>Galabada GroupAkuressa</v>
      </c>
      <c r="H489" s="5" t="str">
        <f t="shared" si="1"/>
        <v xml:space="preserve"> View Map </v>
      </c>
    </row>
    <row r="490" spans="2:8" x14ac:dyDescent="0.2">
      <c r="B490" s="4" t="str">
        <f>PROPER(Sheet1!$B490&amp;" "&amp;"Tea Factory")</f>
        <v>Greenwood  Tea Factory</v>
      </c>
      <c r="F490" s="4">
        <f>Sheet1!G490</f>
        <v>0</v>
      </c>
      <c r="G490" s="4" t="str">
        <f>Sheet1!J490</f>
        <v>Green Wood EstateNawalapitiya</v>
      </c>
      <c r="H490" s="5" t="str">
        <f t="shared" si="1"/>
        <v xml:space="preserve"> View Map </v>
      </c>
    </row>
    <row r="491" spans="2:8" x14ac:dyDescent="0.2">
      <c r="B491" s="4" t="str">
        <f>PROPER(Sheet1!$B491&amp;" "&amp;"Tea Factory")</f>
        <v>Doolwala Tea Factory</v>
      </c>
      <c r="F491" s="4" t="str">
        <f>Sheet1!G491</f>
        <v>NULL</v>
      </c>
      <c r="G491" s="4">
        <f>Sheet1!J491</f>
        <v>0</v>
      </c>
      <c r="H491" s="5" t="str">
        <f t="shared" si="1"/>
        <v xml:space="preserve"> View Map </v>
      </c>
    </row>
    <row r="492" spans="2:8" x14ac:dyDescent="0.2">
      <c r="B492" s="4" t="str">
        <f>PROPER(Sheet1!$B492&amp;" "&amp;"Tea Factory")</f>
        <v>Pitiyagoda Tea Factory</v>
      </c>
      <c r="F492" s="4" t="str">
        <f>Sheet1!G492</f>
        <v>Thellambura</v>
      </c>
      <c r="G492" s="4" t="str">
        <f>Sheet1!J492</f>
        <v>Pitiyagoda  EstateNakiyadeniya</v>
      </c>
      <c r="H492" s="5" t="str">
        <f t="shared" si="1"/>
        <v xml:space="preserve"> View Map </v>
      </c>
    </row>
    <row r="493" spans="2:8" x14ac:dyDescent="0.2">
      <c r="B493" s="4" t="str">
        <f>PROPER(Sheet1!$B493&amp;" "&amp;"Tea Factory")</f>
        <v>Dedugala Tea Factory</v>
      </c>
      <c r="F493" s="4" t="str">
        <f>Sheet1!G493</f>
        <v>Dedugala</v>
      </c>
      <c r="G493" s="4" t="str">
        <f>Sheet1!J493</f>
        <v>Dedugala,Bulathkohupitiya.</v>
      </c>
      <c r="H493" s="5" t="str">
        <f t="shared" si="1"/>
        <v xml:space="preserve"> View Map </v>
      </c>
    </row>
    <row r="494" spans="2:8" x14ac:dyDescent="0.2">
      <c r="B494" s="4" t="str">
        <f>PROPER(Sheet1!$B494&amp;" "&amp;"Tea Factory")</f>
        <v>Idangoda Tea Factory</v>
      </c>
      <c r="F494" s="4" t="str">
        <f>Sheet1!G494</f>
        <v>Idangoda</v>
      </c>
      <c r="G494" s="4" t="str">
        <f>Sheet1!J494</f>
        <v>Pahala Kuttapitiya, PelmadullaRatnapura</v>
      </c>
      <c r="H494" s="5" t="str">
        <f t="shared" si="1"/>
        <v xml:space="preserve"> View Map </v>
      </c>
    </row>
    <row r="495" spans="2:8" x14ac:dyDescent="0.2">
      <c r="B495" s="4" t="str">
        <f>PROPER(Sheet1!$B495&amp;" "&amp;"Tea Factory")</f>
        <v>Kadigalahena Tea Factory</v>
      </c>
      <c r="F495" s="4" t="str">
        <f>Sheet1!G495</f>
        <v>Dehigasthalawa</v>
      </c>
      <c r="G495" s="4" t="str">
        <f>Sheet1!J495</f>
        <v>Rilhena,Pelmadulla.</v>
      </c>
      <c r="H495" s="5" t="str">
        <f t="shared" si="1"/>
        <v xml:space="preserve"> View Map </v>
      </c>
    </row>
    <row r="496" spans="2:8" x14ac:dyDescent="0.2">
      <c r="B496" s="4" t="str">
        <f>PROPER(Sheet1!$B496&amp;" "&amp;"Tea Factory")</f>
        <v>Mahendra Tea Factory</v>
      </c>
      <c r="F496" s="4" t="str">
        <f>Sheet1!G496</f>
        <v>Rabukana</v>
      </c>
      <c r="G496" s="4" t="str">
        <f>Sheet1!J496</f>
        <v>Mahendra EstateAthu ElaMorawaka</v>
      </c>
      <c r="H496" s="5" t="str">
        <f t="shared" si="1"/>
        <v xml:space="preserve"> View Map </v>
      </c>
    </row>
    <row r="497" spans="2:8" x14ac:dyDescent="0.2">
      <c r="B497" s="4" t="str">
        <f>PROPER(Sheet1!$B497&amp;" "&amp;"Tea Factory")</f>
        <v>Korahilagoda Tea Factory</v>
      </c>
      <c r="F497" s="4">
        <f>Sheet1!G497</f>
        <v>0</v>
      </c>
      <c r="G497" s="4" t="str">
        <f>Sheet1!J497</f>
        <v>ThelijjawilaMatara</v>
      </c>
      <c r="H497" s="5" t="str">
        <f t="shared" si="1"/>
        <v xml:space="preserve"> View Map </v>
      </c>
    </row>
    <row r="498" spans="2:8" x14ac:dyDescent="0.2">
      <c r="B498" s="4" t="str">
        <f>PROPER(Sheet1!$B498&amp;" "&amp;"Tea Factory")</f>
        <v>Ringwood Tea Factory</v>
      </c>
      <c r="F498" s="4">
        <f>Sheet1!G498</f>
        <v>0</v>
      </c>
      <c r="G498" s="4" t="str">
        <f>Sheet1!J498</f>
        <v>Raja Ela,Ulapane.</v>
      </c>
      <c r="H498" s="5" t="str">
        <f t="shared" si="1"/>
        <v xml:space="preserve"> View Map </v>
      </c>
    </row>
    <row r="499" spans="2:8" x14ac:dyDescent="0.2">
      <c r="B499" s="4" t="str">
        <f>PROPER(Sheet1!$B499&amp;" "&amp;"Tea Factory")</f>
        <v>Osborne Tea Factory</v>
      </c>
      <c r="F499" s="4">
        <f>Sheet1!G499</f>
        <v>0</v>
      </c>
      <c r="G499" s="4" t="str">
        <f>Sheet1!J499</f>
        <v>Hatton</v>
      </c>
      <c r="H499" s="5" t="str">
        <f t="shared" si="1"/>
        <v xml:space="preserve"> View Map </v>
      </c>
    </row>
    <row r="500" spans="2:8" x14ac:dyDescent="0.2">
      <c r="B500" s="4" t="str">
        <f>PROPER(Sheet1!$B500&amp;" "&amp;"Tea Factory")</f>
        <v>Polgahawila Tea Factory</v>
      </c>
      <c r="F500" s="4">
        <f>Sheet1!G500</f>
        <v>0</v>
      </c>
      <c r="G500" s="4" t="str">
        <f>Sheet1!J500</f>
        <v>AgaliyaBaddegamaGalle</v>
      </c>
      <c r="H500" s="5" t="str">
        <f t="shared" si="1"/>
        <v xml:space="preserve"> View Map </v>
      </c>
    </row>
    <row r="501" spans="2:8" x14ac:dyDescent="0.2">
      <c r="B501" s="4" t="str">
        <f>PROPER(Sheet1!$B501&amp;" "&amp;"Tea Factory")</f>
        <v>Tippola Tea Factory</v>
      </c>
      <c r="F501" s="4" t="str">
        <f>Sheet1!G501</f>
        <v>Akuressa</v>
      </c>
      <c r="G501" s="4" t="str">
        <f>Sheet1!J501</f>
        <v>Akuressa,Matara.</v>
      </c>
      <c r="H501" s="5" t="str">
        <f t="shared" si="1"/>
        <v xml:space="preserve"> View Map </v>
      </c>
    </row>
    <row r="502" spans="2:8" x14ac:dyDescent="0.2">
      <c r="B502" s="4" t="str">
        <f>PROPER(Sheet1!$B502&amp;" "&amp;"Tea Factory")</f>
        <v>Gilimale Tea Shakthi  Tea Factory</v>
      </c>
      <c r="F502" s="4" t="str">
        <f>Sheet1!G502</f>
        <v>Gilemale</v>
      </c>
      <c r="G502" s="4" t="str">
        <f>Sheet1!J502</f>
        <v>Guruluwana,  Ratnapura.</v>
      </c>
      <c r="H502" s="5" t="str">
        <f t="shared" si="1"/>
        <v xml:space="preserve"> View Map </v>
      </c>
    </row>
    <row r="503" spans="2:8" x14ac:dyDescent="0.2">
      <c r="B503" s="4" t="str">
        <f>PROPER(Sheet1!$B503&amp;" "&amp;"Tea Factory")</f>
        <v>Lankaberiya Tea Factory</v>
      </c>
      <c r="F503" s="4">
        <f>Sheet1!G503</f>
        <v>0</v>
      </c>
      <c r="G503" s="4" t="str">
        <f>Sheet1!J503</f>
        <v>Lankaberiya EstateIttakanda</v>
      </c>
      <c r="H503" s="5" t="str">
        <f t="shared" si="1"/>
        <v xml:space="preserve"> View Map </v>
      </c>
    </row>
    <row r="504" spans="2:8" x14ac:dyDescent="0.2">
      <c r="B504" s="4" t="str">
        <f>PROPER(Sheet1!$B504&amp;" "&amp;"Tea Factory")</f>
        <v>Dangkande Tea Factory</v>
      </c>
      <c r="F504" s="4">
        <f>Sheet1!G504</f>
        <v>0</v>
      </c>
      <c r="G504" s="4" t="str">
        <f>Sheet1!J504</f>
        <v>Midlands Estate PlntMatale</v>
      </c>
      <c r="H504" s="5" t="str">
        <f t="shared" si="1"/>
        <v xml:space="preserve"> View Map </v>
      </c>
    </row>
    <row r="505" spans="2:8" x14ac:dyDescent="0.2">
      <c r="B505" s="4" t="str">
        <f>PROPER(Sheet1!$B505&amp;" "&amp;"Tea Factory")</f>
        <v>Jasmine Valley  Tea Factory</v>
      </c>
      <c r="F505" s="4" t="str">
        <f>Sheet1!G505</f>
        <v>Thawalama</v>
      </c>
      <c r="G505" s="4" t="str">
        <f>Sheet1!J505</f>
        <v>ThawalamaGalle</v>
      </c>
      <c r="H505" s="5" t="str">
        <f t="shared" si="1"/>
        <v xml:space="preserve"> View Map </v>
      </c>
    </row>
    <row r="506" spans="2:8" x14ac:dyDescent="0.2">
      <c r="B506" s="4" t="str">
        <f>PROPER(Sheet1!$B506&amp;" "&amp;"Tea Factory")</f>
        <v>Ivy Valley  Tea Factory</v>
      </c>
      <c r="F506" s="4" t="str">
        <f>Sheet1!G506</f>
        <v>Lelwala</v>
      </c>
      <c r="G506" s="4" t="str">
        <f>Sheet1!J506</f>
        <v>Baddegama Raod,Lelwala,Wanduramba.</v>
      </c>
      <c r="H506" s="5" t="str">
        <f t="shared" si="1"/>
        <v xml:space="preserve"> View Map </v>
      </c>
    </row>
    <row r="507" spans="2:8" x14ac:dyDescent="0.2">
      <c r="B507" s="4" t="str">
        <f>PROPER(Sheet1!$B507&amp;" "&amp;"Tea Factory")</f>
        <v>New Vithanakanda Tea Factory</v>
      </c>
      <c r="F507" s="4" t="str">
        <f>Sheet1!G507</f>
        <v>Delwala</v>
      </c>
      <c r="G507" s="4" t="str">
        <f>Sheet1!J507</f>
        <v>New Withanakanda EstateDelwala S.P.O.Ratnapura Via</v>
      </c>
      <c r="H507" s="5" t="str">
        <f t="shared" si="1"/>
        <v xml:space="preserve"> View Map </v>
      </c>
    </row>
    <row r="508" spans="2:8" x14ac:dyDescent="0.2">
      <c r="B508" s="4" t="str">
        <f>PROPER(Sheet1!$B508&amp;" "&amp;"Tea Factory")</f>
        <v>Vedahata Tea Factory</v>
      </c>
      <c r="F508" s="4" t="str">
        <f>Sheet1!G508</f>
        <v>Vedahette</v>
      </c>
      <c r="G508" s="4" t="str">
        <f>Sheet1!J508</f>
        <v>Vedahata Estate.Galaha.</v>
      </c>
      <c r="H508" s="5" t="str">
        <f t="shared" si="1"/>
        <v xml:space="preserve"> View Map </v>
      </c>
    </row>
    <row r="509" spans="2:8" x14ac:dyDescent="0.2">
      <c r="B509" s="4" t="str">
        <f>PROPER(Sheet1!$B509&amp;" "&amp;"Tea Factory")</f>
        <v>Pallegama  Tea Factory</v>
      </c>
      <c r="F509" s="4">
        <f>Sheet1!G509</f>
        <v>0</v>
      </c>
      <c r="G509" s="4" t="str">
        <f>Sheet1!J509</f>
        <v>UlapaneKandy</v>
      </c>
      <c r="H509" s="5" t="str">
        <f t="shared" si="1"/>
        <v xml:space="preserve"> View Map </v>
      </c>
    </row>
    <row r="510" spans="2:8" x14ac:dyDescent="0.2">
      <c r="B510" s="4" t="str">
        <f>PROPER(Sheet1!$B510&amp;" "&amp;"Tea Factory")</f>
        <v>Devagiri Tea Factory</v>
      </c>
      <c r="F510" s="4" t="str">
        <f>Sheet1!G510</f>
        <v>Kottawagama</v>
      </c>
      <c r="G510" s="4" t="str">
        <f>Sheet1!J510</f>
        <v xml:space="preserve">Devagiri Groups Kottawagama,  Via Galle. </v>
      </c>
      <c r="H510" s="5" t="str">
        <f t="shared" si="1"/>
        <v xml:space="preserve"> View Map </v>
      </c>
    </row>
    <row r="511" spans="2:8" x14ac:dyDescent="0.2">
      <c r="B511" s="4" t="str">
        <f>PROPER(Sheet1!$B511&amp;" "&amp;"Tea Factory")</f>
        <v>Green Mount Tea Factory</v>
      </c>
      <c r="F511" s="4" t="str">
        <f>Sheet1!G511</f>
        <v>Amupitiya</v>
      </c>
      <c r="G511" s="4" t="str">
        <f>Sheet1!J511</f>
        <v>Imbulpe Balangoda</v>
      </c>
      <c r="H511" s="5" t="str">
        <f t="shared" si="1"/>
        <v xml:space="preserve"> View Map </v>
      </c>
    </row>
    <row r="512" spans="2:8" x14ac:dyDescent="0.2">
      <c r="B512" s="4" t="str">
        <f>PROPER(Sheet1!$B512&amp;" "&amp;"Tea Factory")</f>
        <v>Dhawalagiri Tea Factory</v>
      </c>
      <c r="F512" s="4" t="str">
        <f>Sheet1!G512</f>
        <v>Dawgalagama</v>
      </c>
      <c r="G512" s="4" t="str">
        <f>Sheet1!J512</f>
        <v>DawgalagamaKalawana</v>
      </c>
      <c r="H512" s="5" t="str">
        <f t="shared" ref="H512:H766" si="2">HYPERLINK("https://www.google.com/maps/search/"&amp;SUBSTITUTE($B512,"","+")," View Map ")</f>
        <v xml:space="preserve"> View Map </v>
      </c>
    </row>
    <row r="513" spans="2:8" x14ac:dyDescent="0.2">
      <c r="B513" s="4" t="str">
        <f>PROPER(Sheet1!$B513&amp;" "&amp;"Tea Factory")</f>
        <v>Meeriyakande Tea Factory</v>
      </c>
      <c r="F513" s="4">
        <f>Sheet1!G513</f>
        <v>0</v>
      </c>
      <c r="G513" s="4" t="str">
        <f>Sheet1!J513</f>
        <v>Ihala Goda AkmeemanaGalle</v>
      </c>
      <c r="H513" s="5" t="str">
        <f t="shared" si="2"/>
        <v xml:space="preserve"> View Map </v>
      </c>
    </row>
    <row r="514" spans="2:8" x14ac:dyDescent="0.2">
      <c r="B514" s="4" t="str">
        <f>PROPER(Sheet1!$B514&amp;" "&amp;"Tea Factory")</f>
        <v>Nadunuyana Tea Factory</v>
      </c>
      <c r="F514" s="4" t="str">
        <f>Sheet1!G514</f>
        <v>Ihal Keembiya</v>
      </c>
      <c r="G514" s="4" t="str">
        <f>Sheet1!J514</f>
        <v>Ihala-KeembiyaGalle</v>
      </c>
      <c r="H514" s="5" t="str">
        <f t="shared" si="2"/>
        <v xml:space="preserve"> View Map </v>
      </c>
    </row>
    <row r="515" spans="2:8" x14ac:dyDescent="0.2">
      <c r="B515" s="4" t="str">
        <f>PROPER(Sheet1!$B515&amp;" "&amp;"Tea Factory")</f>
        <v>Golden Leaf Tea Factory</v>
      </c>
      <c r="F515" s="4">
        <f>Sheet1!G515</f>
        <v>0</v>
      </c>
      <c r="G515" s="4" t="str">
        <f>Sheet1!J515</f>
        <v>GonamullaPitadeniya RaodGalle</v>
      </c>
      <c r="H515" s="5" t="str">
        <f t="shared" si="2"/>
        <v xml:space="preserve"> View Map </v>
      </c>
    </row>
    <row r="516" spans="2:8" x14ac:dyDescent="0.2">
      <c r="B516" s="4" t="str">
        <f>PROPER(Sheet1!$B516&amp;" "&amp;"Tea Factory")</f>
        <v>Gurugodella Tea Factory</v>
      </c>
      <c r="F516" s="4" t="str">
        <f>Sheet1!G516</f>
        <v>Niyagama</v>
      </c>
      <c r="G516" s="4" t="str">
        <f>Sheet1!J516</f>
        <v>Niyagama,Thalgaswala.</v>
      </c>
      <c r="H516" s="5" t="str">
        <f t="shared" si="2"/>
        <v xml:space="preserve"> View Map </v>
      </c>
    </row>
    <row r="517" spans="2:8" x14ac:dyDescent="0.2">
      <c r="B517" s="4" t="str">
        <f>PROPER(Sheet1!$B517&amp;" "&amp;"Tea Factory")</f>
        <v xml:space="preserve"> Deniyaya Tea Shakthi  Tea Factory</v>
      </c>
      <c r="F517" s="4" t="str">
        <f>Sheet1!G517</f>
        <v>Pallegama</v>
      </c>
      <c r="G517" s="4" t="str">
        <f>Sheet1!J517</f>
        <v>KolawenigamaDeniyaya</v>
      </c>
      <c r="H517" s="5" t="str">
        <f t="shared" si="2"/>
        <v xml:space="preserve"> View Map </v>
      </c>
    </row>
    <row r="518" spans="2:8" x14ac:dyDescent="0.2">
      <c r="B518" s="4" t="str">
        <f>PROPER(Sheet1!$B518&amp;" "&amp;"Tea Factory")</f>
        <v>Gulugahakande Tea Factory</v>
      </c>
      <c r="F518" s="4" t="str">
        <f>Sheet1!G518</f>
        <v>Nehingala</v>
      </c>
      <c r="G518" s="4" t="str">
        <f>Sheet1!J518</f>
        <v>GulugahakandaWandurmba</v>
      </c>
      <c r="H518" s="5" t="str">
        <f t="shared" si="2"/>
        <v xml:space="preserve"> View Map </v>
      </c>
    </row>
    <row r="519" spans="2:8" x14ac:dyDescent="0.2">
      <c r="B519" s="4" t="str">
        <f>PROPER(Sheet1!$B519&amp;" "&amp;"Tea Factory")</f>
        <v>Aminity Valley Tea Factory</v>
      </c>
      <c r="F519" s="4" t="str">
        <f>Sheet1!G519</f>
        <v>Panangala</v>
      </c>
      <c r="G519" s="4" t="str">
        <f>Sheet1!J519</f>
        <v>Hecock ValleyPanangala</v>
      </c>
      <c r="H519" s="5" t="str">
        <f t="shared" si="2"/>
        <v xml:space="preserve"> View Map </v>
      </c>
    </row>
    <row r="520" spans="2:8" x14ac:dyDescent="0.2">
      <c r="B520" s="4" t="str">
        <f>PROPER(Sheet1!$B520&amp;" "&amp;"Tea Factory")</f>
        <v>Uva Halpewatte  Tea Factory</v>
      </c>
      <c r="F520" s="4" t="str">
        <f>Sheet1!G520</f>
        <v>Halpe</v>
      </c>
      <c r="G520" s="4" t="str">
        <f>Sheet1!J520</f>
        <v>Uva Halpewatte Estate LtdHela HalpeBandarawela</v>
      </c>
      <c r="H520" s="5" t="str">
        <f t="shared" si="2"/>
        <v xml:space="preserve"> View Map </v>
      </c>
    </row>
    <row r="521" spans="2:8" x14ac:dyDescent="0.2">
      <c r="B521" s="4" t="str">
        <f>PROPER(Sheet1!$B521&amp;" "&amp;"Tea Factory")</f>
        <v>Inchestelly Tea Factory</v>
      </c>
      <c r="F521" s="4">
        <f>Sheet1!G521</f>
        <v>0</v>
      </c>
      <c r="G521" s="4">
        <f>Sheet1!J521</f>
        <v>0</v>
      </c>
      <c r="H521" s="5" t="str">
        <f t="shared" si="2"/>
        <v xml:space="preserve"> View Map </v>
      </c>
    </row>
    <row r="522" spans="2:8" x14ac:dyDescent="0.2">
      <c r="B522" s="4" t="str">
        <f>PROPER(Sheet1!$B522&amp;" "&amp;"Tea Factory")</f>
        <v>Royal Wadiyakanda Tea Factory</v>
      </c>
      <c r="F522" s="4" t="str">
        <f>Sheet1!G522</f>
        <v>MAPALAGAMA</v>
      </c>
      <c r="G522" s="4" t="str">
        <f>Sheet1!J522</f>
        <v>Athumale,Galle.</v>
      </c>
      <c r="H522" s="5" t="str">
        <f t="shared" si="2"/>
        <v xml:space="preserve"> View Map </v>
      </c>
    </row>
    <row r="523" spans="2:8" x14ac:dyDescent="0.2">
      <c r="B523" s="4" t="str">
        <f>PROPER(Sheet1!$B523&amp;" "&amp;"Tea Factory")</f>
        <v>Godakumbura  Tea Factory</v>
      </c>
      <c r="F523" s="4" t="str">
        <f>Sheet1!G523</f>
        <v>Millagahapitiya</v>
      </c>
      <c r="G523" s="4" t="str">
        <f>Sheet1!J523</f>
        <v>Maha UdagamaAtabage</v>
      </c>
      <c r="H523" s="5" t="str">
        <f t="shared" si="2"/>
        <v xml:space="preserve"> View Map </v>
      </c>
    </row>
    <row r="524" spans="2:8" x14ac:dyDescent="0.2">
      <c r="B524" s="4" t="str">
        <f>PROPER(Sheet1!$B524&amp;" "&amp;"Tea Factory")</f>
        <v>Weliarawe Tea Factory</v>
      </c>
      <c r="F524" s="4" t="str">
        <f>Sheet1!G524</f>
        <v>WELLARAWA ESTATE</v>
      </c>
      <c r="G524" s="4" t="str">
        <f>Sheet1!J524</f>
        <v>ALLENYALLEY ESTATEINARALLA</v>
      </c>
      <c r="H524" s="5" t="str">
        <f t="shared" si="2"/>
        <v xml:space="preserve"> View Map </v>
      </c>
    </row>
    <row r="525" spans="2:8" x14ac:dyDescent="0.2">
      <c r="B525" s="4" t="str">
        <f>PROPER(Sheet1!$B525&amp;" "&amp;"Tea Factory")</f>
        <v>Alikahena Tea Factory</v>
      </c>
      <c r="F525" s="4" t="str">
        <f>Sheet1!G525</f>
        <v>Nawadagala</v>
      </c>
      <c r="G525" s="4" t="str">
        <f>Sheet1!J525</f>
        <v>Alikahena BNawadagala</v>
      </c>
      <c r="H525" s="5" t="str">
        <f t="shared" si="2"/>
        <v xml:space="preserve"> View Map </v>
      </c>
    </row>
    <row r="526" spans="2:8" x14ac:dyDescent="0.2">
      <c r="B526" s="4" t="str">
        <f>PROPER(Sheet1!$B526&amp;" "&amp;"Tea Factory")</f>
        <v>Galpaditenne  Tea Factory</v>
      </c>
      <c r="F526" s="4" t="str">
        <f>Sheet1!G526</f>
        <v>Lellopitiya</v>
      </c>
      <c r="G526" s="4" t="str">
        <f>Sheet1!J526</f>
        <v>Galpaditenna, Lellopitiya.Ratnapura</v>
      </c>
      <c r="H526" s="5" t="str">
        <f t="shared" si="2"/>
        <v xml:space="preserve"> View Map </v>
      </c>
    </row>
    <row r="527" spans="2:8" x14ac:dyDescent="0.2">
      <c r="B527" s="4" t="str">
        <f>PROPER(Sheet1!$B527&amp;" "&amp;"Tea Factory")</f>
        <v>Rukkattana Tea Factory</v>
      </c>
      <c r="F527" s="4" t="str">
        <f>Sheet1!G527</f>
        <v>Nagoda</v>
      </c>
      <c r="G527" s="4" t="str">
        <f>Sheet1!J527</f>
        <v>Rukkattana Estate,Nagoda,Galle.</v>
      </c>
      <c r="H527" s="5" t="str">
        <f t="shared" si="2"/>
        <v xml:space="preserve"> View Map </v>
      </c>
    </row>
    <row r="528" spans="2:8" x14ac:dyDescent="0.2">
      <c r="B528" s="4" t="str">
        <f>PROPER(Sheet1!$B528&amp;" "&amp;"Tea Factory")</f>
        <v>Etambagahawila Tea Factory</v>
      </c>
      <c r="F528" s="4">
        <f>Sheet1!G528</f>
        <v>0</v>
      </c>
      <c r="G528" s="4" t="str">
        <f>Sheet1!J528</f>
        <v>Kananke Bazar, WeligmaMatara</v>
      </c>
      <c r="H528" s="5" t="str">
        <f t="shared" si="2"/>
        <v xml:space="preserve"> View Map </v>
      </c>
    </row>
    <row r="529" spans="2:8" x14ac:dyDescent="0.2">
      <c r="B529" s="4" t="str">
        <f>PROPER(Sheet1!$B529&amp;" "&amp;"Tea Factory")</f>
        <v>Lantern Hill Tea Factory</v>
      </c>
      <c r="F529" s="4" t="str">
        <f>Sheet1!G529</f>
        <v>Galpaya</v>
      </c>
      <c r="G529" s="4" t="str">
        <f>Sheet1!J529</f>
        <v>Welikanda,Meethalawa.Kandy</v>
      </c>
      <c r="H529" s="5" t="str">
        <f t="shared" si="2"/>
        <v xml:space="preserve"> View Map </v>
      </c>
    </row>
    <row r="530" spans="2:8" x14ac:dyDescent="0.2">
      <c r="B530" s="4" t="str">
        <f>PROPER(Sheet1!$B530&amp;" "&amp;"Tea Factory")</f>
        <v>Ethgandara Tea Factory</v>
      </c>
      <c r="F530" s="4" t="str">
        <f>Sheet1!G530</f>
        <v>Imaduwa</v>
      </c>
      <c r="G530" s="4" t="str">
        <f>Sheet1!J530</f>
        <v>Ethgandara EstateImaduwaGalle</v>
      </c>
      <c r="H530" s="5" t="str">
        <f t="shared" si="2"/>
        <v xml:space="preserve"> View Map </v>
      </c>
    </row>
    <row r="531" spans="2:8" x14ac:dyDescent="0.2">
      <c r="B531" s="4" t="str">
        <f>PROPER(Sheet1!$B531&amp;" "&amp;"Tea Factory")</f>
        <v>Godapola Tea Factory</v>
      </c>
      <c r="F531" s="4" t="str">
        <f>Sheet1!G531</f>
        <v>Kilu</v>
      </c>
      <c r="G531" s="4" t="str">
        <f>Sheet1!J531</f>
        <v>Nikalanda Estate,Bandarapola,Kiula,Matale.</v>
      </c>
      <c r="H531" s="5" t="str">
        <f t="shared" si="2"/>
        <v xml:space="preserve"> View Map </v>
      </c>
    </row>
    <row r="532" spans="2:8" x14ac:dyDescent="0.2">
      <c r="B532" s="4" t="str">
        <f>PROPER(Sheet1!$B532&amp;" "&amp;"Tea Factory")</f>
        <v>Henakande Tea Factory</v>
      </c>
      <c r="F532" s="4">
        <f>Sheet1!G532</f>
        <v>0</v>
      </c>
      <c r="G532" s="4" t="str">
        <f>Sheet1!J532</f>
        <v>Lelwala Estate</v>
      </c>
      <c r="H532" s="5" t="str">
        <f t="shared" si="2"/>
        <v xml:space="preserve"> View Map </v>
      </c>
    </row>
    <row r="533" spans="2:8" x14ac:dyDescent="0.2">
      <c r="B533" s="4" t="str">
        <f>PROPER(Sheet1!$B533&amp;" "&amp;"Tea Factory")</f>
        <v>Storefield Tea Factory</v>
      </c>
      <c r="F533" s="4">
        <f>Sheet1!G533</f>
        <v>0</v>
      </c>
      <c r="G533" s="4" t="str">
        <f>Sheet1!J533</f>
        <v>Nuwaraeliya RoadDelpitiyaGampola</v>
      </c>
      <c r="H533" s="5" t="str">
        <f t="shared" si="2"/>
        <v xml:space="preserve"> View Map </v>
      </c>
    </row>
    <row r="534" spans="2:8" x14ac:dyDescent="0.2">
      <c r="B534" s="4" t="str">
        <f>PROPER(Sheet1!$B534&amp;" "&amp;"Tea Factory")</f>
        <v>Eramulla Tea Factory</v>
      </c>
      <c r="F534" s="4" t="str">
        <f>Sheet1!G534</f>
        <v>Eramulla</v>
      </c>
      <c r="G534" s="4" t="str">
        <f>Sheet1!J534</f>
        <v>Eramulla EstatePinikahanaElpitiya</v>
      </c>
      <c r="H534" s="5" t="str">
        <f t="shared" si="2"/>
        <v xml:space="preserve"> View Map </v>
      </c>
    </row>
    <row r="535" spans="2:8" x14ac:dyDescent="0.2">
      <c r="B535" s="4" t="str">
        <f>PROPER(Sheet1!$B535&amp;" "&amp;"Tea Factory")</f>
        <v>Wilehena  Tea Factory</v>
      </c>
      <c r="F535" s="4" t="str">
        <f>Sheet1!G535</f>
        <v>Haupe</v>
      </c>
      <c r="G535" s="4" t="str">
        <f>Sheet1!J535</f>
        <v xml:space="preserve">Haupe Galle </v>
      </c>
      <c r="H535" s="5" t="str">
        <f t="shared" si="2"/>
        <v xml:space="preserve"> View Map </v>
      </c>
    </row>
    <row r="536" spans="2:8" x14ac:dyDescent="0.2">
      <c r="B536" s="4" t="str">
        <f>PROPER(Sheet1!$B536&amp;" "&amp;"Tea Factory")</f>
        <v>Mahesland  Tea Factory</v>
      </c>
      <c r="F536" s="4" t="str">
        <f>Sheet1!G536</f>
        <v>Thellambura</v>
      </c>
      <c r="G536" s="4" t="str">
        <f>Sheet1!J536</f>
        <v>Tellambura, Nakiyadeniya</v>
      </c>
      <c r="H536" s="5" t="str">
        <f t="shared" si="2"/>
        <v xml:space="preserve"> View Map </v>
      </c>
    </row>
    <row r="537" spans="2:8" x14ac:dyDescent="0.2">
      <c r="B537" s="4" t="str">
        <f>PROPER(Sheet1!$B537&amp;" "&amp;"Tea Factory")</f>
        <v>Concordia  Tea Factory</v>
      </c>
      <c r="F537" s="4">
        <f>Sheet1!G537</f>
        <v>0</v>
      </c>
      <c r="G537" s="4" t="str">
        <f>Sheet1!J537</f>
        <v>Concordia  EstateKandapola</v>
      </c>
      <c r="H537" s="5" t="str">
        <f t="shared" si="2"/>
        <v xml:space="preserve"> View Map </v>
      </c>
    </row>
    <row r="538" spans="2:8" x14ac:dyDescent="0.2">
      <c r="B538" s="4" t="str">
        <f>PROPER(Sheet1!$B538&amp;" "&amp;"Tea Factory")</f>
        <v>Uplands Tea Factory</v>
      </c>
      <c r="F538" s="4" t="str">
        <f>Sheet1!G538</f>
        <v>Kalugamuwa</v>
      </c>
      <c r="G538" s="4" t="str">
        <f>Sheet1!J538</f>
        <v>Uplands EstatePeradeniya</v>
      </c>
      <c r="H538" s="5" t="str">
        <f t="shared" si="2"/>
        <v xml:space="preserve"> View Map </v>
      </c>
    </row>
    <row r="539" spans="2:8" x14ac:dyDescent="0.2">
      <c r="B539" s="4" t="str">
        <f>PROPER(Sheet1!$B539&amp;" "&amp;"Tea Factory")</f>
        <v>Avissawella Tea Factory</v>
      </c>
      <c r="F539" s="4" t="str">
        <f>Sheet1!G539</f>
        <v>Weralupitiya</v>
      </c>
      <c r="G539" s="4" t="str">
        <f>Sheet1!J539</f>
        <v>Seethawaka Industrial ParkAvissawella</v>
      </c>
      <c r="H539" s="5" t="str">
        <f t="shared" si="2"/>
        <v xml:space="preserve"> View Map </v>
      </c>
    </row>
    <row r="540" spans="2:8" x14ac:dyDescent="0.2">
      <c r="B540" s="4" t="str">
        <f>PROPER(Sheet1!$B540&amp;" "&amp;"Tea Factory")</f>
        <v>Nelunkanda Tea Factory</v>
      </c>
      <c r="F540" s="4" t="str">
        <f>Sheet1!G540</f>
        <v>Koswatte</v>
      </c>
      <c r="G540" s="4" t="str">
        <f>Sheet1!J540</f>
        <v>KoswaththaKalawana</v>
      </c>
      <c r="H540" s="5" t="str">
        <f t="shared" si="2"/>
        <v xml:space="preserve"> View Map </v>
      </c>
    </row>
    <row r="541" spans="2:8" x14ac:dyDescent="0.2">
      <c r="B541" s="4" t="str">
        <f>PROPER(Sheet1!$B541&amp;" "&amp;"Tea Factory")</f>
        <v>Kendalanda Tea Factory</v>
      </c>
      <c r="F541" s="4" t="str">
        <f>Sheet1!G541</f>
        <v>Yatiwala</v>
      </c>
      <c r="G541" s="4" t="str">
        <f>Sheet1!J541</f>
        <v>Yatiwala, Deraniyagala.</v>
      </c>
      <c r="H541" s="5" t="str">
        <f t="shared" si="2"/>
        <v xml:space="preserve"> View Map </v>
      </c>
    </row>
    <row r="542" spans="2:8" x14ac:dyDescent="0.2">
      <c r="B542" s="4" t="str">
        <f>PROPER(Sheet1!$B542&amp;" "&amp;"Tea Factory")</f>
        <v>Rangalla Group  Tea Factory</v>
      </c>
      <c r="F542" s="4">
        <f>Sheet1!G542</f>
        <v>0</v>
      </c>
      <c r="G542" s="4" t="str">
        <f>Sheet1!J542</f>
        <v>RangalaKandy</v>
      </c>
      <c r="H542" s="5" t="str">
        <f t="shared" si="2"/>
        <v xml:space="preserve"> View Map </v>
      </c>
    </row>
    <row r="543" spans="2:8" x14ac:dyDescent="0.2">
      <c r="B543" s="4" t="str">
        <f>PROPER(Sheet1!$B543&amp;" "&amp;"Tea Factory")</f>
        <v>Biyolta Tea Factory</v>
      </c>
      <c r="F543" s="4" t="str">
        <f>Sheet1!G543</f>
        <v>Moragala</v>
      </c>
      <c r="G543" s="4" t="str">
        <f>Sheet1!J543</f>
        <v>St.Agustine Estate,Moragalla, Kirilipana.</v>
      </c>
      <c r="H543" s="5" t="str">
        <f t="shared" si="2"/>
        <v xml:space="preserve"> View Map </v>
      </c>
    </row>
    <row r="544" spans="2:8" x14ac:dyDescent="0.2">
      <c r="B544" s="4" t="str">
        <f>PROPER(Sheet1!$B544&amp;" "&amp;"Tea Factory")</f>
        <v>Mussendapota Tea Factory</v>
      </c>
      <c r="F544" s="4" t="str">
        <f>Sheet1!G544</f>
        <v>Phala Lelwala</v>
      </c>
      <c r="G544" s="4" t="str">
        <f>Sheet1!J544</f>
        <v>Mussandapotha GroupWandurambaGalle</v>
      </c>
      <c r="H544" s="5" t="str">
        <f t="shared" si="2"/>
        <v xml:space="preserve"> View Map </v>
      </c>
    </row>
    <row r="545" spans="2:8" x14ac:dyDescent="0.2">
      <c r="B545" s="4" t="str">
        <f>PROPER(Sheet1!$B545&amp;" "&amp;"Tea Factory")</f>
        <v>Nirmala Tea Factory</v>
      </c>
      <c r="F545" s="4" t="str">
        <f>Sheet1!G545</f>
        <v>Kalupahana</v>
      </c>
      <c r="G545" s="4" t="str">
        <f>Sheet1!J545</f>
        <v>Kalupahana WatteBulathkohopitiya</v>
      </c>
      <c r="H545" s="5" t="str">
        <f t="shared" si="2"/>
        <v xml:space="preserve"> View Map </v>
      </c>
    </row>
    <row r="546" spans="2:8" x14ac:dyDescent="0.2">
      <c r="B546" s="4" t="str">
        <f>PROPER(Sheet1!$B546&amp;" "&amp;"Tea Factory")</f>
        <v>Norton Tea Factory</v>
      </c>
      <c r="F546" s="4">
        <f>Sheet1!G546</f>
        <v>0</v>
      </c>
      <c r="G546" s="4" t="str">
        <f>Sheet1!J546</f>
        <v>Kiriwan Eliya,Norton Bridge.</v>
      </c>
      <c r="H546" s="5" t="str">
        <f t="shared" si="2"/>
        <v xml:space="preserve"> View Map </v>
      </c>
    </row>
    <row r="547" spans="2:8" x14ac:dyDescent="0.2">
      <c r="B547" s="4" t="str">
        <f>PROPER(Sheet1!$B547&amp;" "&amp;"Tea Factory")</f>
        <v>Berubeula Tea Factory</v>
      </c>
      <c r="F547" s="4" t="str">
        <f>Sheet1!G547</f>
        <v>Urubokka</v>
      </c>
      <c r="G547" s="4" t="str">
        <f>Sheet1!J547</f>
        <v>Berubaula  EstateUrubokka</v>
      </c>
      <c r="H547" s="5" t="str">
        <f t="shared" si="2"/>
        <v xml:space="preserve"> View Map </v>
      </c>
    </row>
    <row r="548" spans="2:8" x14ac:dyDescent="0.2">
      <c r="B548" s="4" t="str">
        <f>PROPER(Sheet1!$B548&amp;" "&amp;"Tea Factory")</f>
        <v>Deniyaya New Tea Factory</v>
      </c>
      <c r="F548" s="4">
        <f>Sheet1!G548</f>
        <v>0</v>
      </c>
      <c r="G548" s="4" t="str">
        <f>Sheet1!J548</f>
        <v>Kiruwanaganga Tea Fac.DeniyayaMatara</v>
      </c>
      <c r="H548" s="5" t="str">
        <f t="shared" si="2"/>
        <v xml:space="preserve"> View Map </v>
      </c>
    </row>
    <row r="549" spans="2:8" x14ac:dyDescent="0.2">
      <c r="B549" s="4" t="str">
        <f>PROPER(Sheet1!$B549&amp;" "&amp;"Tea Factory")</f>
        <v>Indian Walk Tea Factory</v>
      </c>
      <c r="F549" s="4" t="str">
        <f>Sheet1!G549</f>
        <v>NULL</v>
      </c>
      <c r="G549" s="4">
        <f>Sheet1!J549</f>
        <v>0</v>
      </c>
      <c r="H549" s="5" t="str">
        <f t="shared" si="2"/>
        <v xml:space="preserve"> View Map </v>
      </c>
    </row>
    <row r="550" spans="2:8" x14ac:dyDescent="0.2">
      <c r="B550" s="4" t="str">
        <f>PROPER(Sheet1!$B550&amp;" "&amp;"Tea Factory")</f>
        <v>Mathota  Tea Factory</v>
      </c>
      <c r="F550" s="4">
        <f>Sheet1!G550</f>
        <v>0</v>
      </c>
      <c r="G550" s="4" t="str">
        <f>Sheet1!J550</f>
        <v>Mathota Tea FactoryKiriveldolaKotapolaMatara</v>
      </c>
      <c r="H550" s="5" t="str">
        <f t="shared" si="2"/>
        <v xml:space="preserve"> View Map </v>
      </c>
    </row>
    <row r="551" spans="2:8" x14ac:dyDescent="0.2">
      <c r="B551" s="4" t="str">
        <f>PROPER(Sheet1!$B551&amp;" "&amp;"Tea Factory")</f>
        <v>Mihirigeekele Tea Factory</v>
      </c>
      <c r="F551" s="4">
        <f>Sheet1!G551</f>
        <v>0</v>
      </c>
      <c r="G551" s="4" t="str">
        <f>Sheet1!J551</f>
        <v>Millakanda EstatBulathsinghala</v>
      </c>
      <c r="H551" s="5" t="str">
        <f t="shared" si="2"/>
        <v xml:space="preserve"> View Map </v>
      </c>
    </row>
    <row r="552" spans="2:8" x14ac:dyDescent="0.2">
      <c r="B552" s="4" t="str">
        <f>PROPER(Sheet1!$B552&amp;" "&amp;"Tea Factory")</f>
        <v>St.Joachim  Tea Factory</v>
      </c>
      <c r="F552" s="4">
        <f>Sheet1!G552</f>
        <v>0</v>
      </c>
      <c r="G552" s="4" t="str">
        <f>Sheet1!J552</f>
        <v>St'Joachim EstateRatnapura</v>
      </c>
      <c r="H552" s="5" t="str">
        <f t="shared" si="2"/>
        <v xml:space="preserve"> View Map </v>
      </c>
    </row>
    <row r="553" spans="2:8" x14ac:dyDescent="0.2">
      <c r="B553" s="4" t="str">
        <f>PROPER(Sheet1!$B553&amp;" "&amp;"Tea Factory")</f>
        <v>Pelawatte Tea Factory</v>
      </c>
      <c r="F553" s="4">
        <f>Sheet1!G553</f>
        <v>0</v>
      </c>
      <c r="G553" s="4" t="str">
        <f>Sheet1!J553</f>
        <v>Pelawatte EstateWeerakandaWalallawita</v>
      </c>
      <c r="H553" s="5" t="str">
        <f t="shared" si="2"/>
        <v xml:space="preserve"> View Map </v>
      </c>
    </row>
    <row r="554" spans="2:8" x14ac:dyDescent="0.2">
      <c r="B554" s="4" t="str">
        <f>PROPER(Sheet1!$B554&amp;" "&amp;"Tea Factory")</f>
        <v>New Panawenna  Tea Factory</v>
      </c>
      <c r="F554" s="4">
        <f>Sheet1!G554</f>
        <v>0</v>
      </c>
      <c r="G554" s="4" t="str">
        <f>Sheet1!J554</f>
        <v>Panawenna,Kahawatte.</v>
      </c>
      <c r="H554" s="5" t="str">
        <f t="shared" si="2"/>
        <v xml:space="preserve"> View Map </v>
      </c>
    </row>
    <row r="555" spans="2:8" x14ac:dyDescent="0.2">
      <c r="B555" s="4" t="str">
        <f>PROPER(Sheet1!$B555&amp;" "&amp;"Tea Factory")</f>
        <v>Samarakanda Tea Processing Centre Tea Factory</v>
      </c>
      <c r="F555" s="4">
        <f>Sheet1!G555</f>
        <v>0</v>
      </c>
      <c r="G555" s="4" t="str">
        <f>Sheet1!J555</f>
        <v>Samarakanda,Endana,Kahawatte</v>
      </c>
      <c r="H555" s="5" t="str">
        <f t="shared" si="2"/>
        <v xml:space="preserve"> View Map </v>
      </c>
    </row>
    <row r="556" spans="2:8" x14ac:dyDescent="0.2">
      <c r="B556" s="4" t="str">
        <f>PROPER(Sheet1!$B556&amp;" "&amp;"Tea Factory")</f>
        <v>Nandana Tea Factory</v>
      </c>
      <c r="F556" s="4">
        <f>Sheet1!G556</f>
        <v>0</v>
      </c>
      <c r="G556" s="4" t="str">
        <f>Sheet1!J556</f>
        <v>Akuressa</v>
      </c>
      <c r="H556" s="5" t="str">
        <f t="shared" si="2"/>
        <v xml:space="preserve"> View Map </v>
      </c>
    </row>
    <row r="557" spans="2:8" x14ac:dyDescent="0.2">
      <c r="B557" s="4" t="str">
        <f>PROPER(Sheet1!$B557&amp;" "&amp;"Tea Factory")</f>
        <v>Galpoththa Watta Tea Factory</v>
      </c>
      <c r="F557" s="4">
        <f>Sheet1!G557</f>
        <v>0</v>
      </c>
      <c r="G557" s="4" t="str">
        <f>Sheet1!J557</f>
        <v>Agaliya,Galle.</v>
      </c>
      <c r="H557" s="5" t="str">
        <f t="shared" si="2"/>
        <v xml:space="preserve"> View Map </v>
      </c>
    </row>
    <row r="558" spans="2:8" x14ac:dyDescent="0.2">
      <c r="B558" s="4" t="str">
        <f>PROPER(Sheet1!$B558&amp;" "&amp;"Tea Factory")</f>
        <v>Demodara Tea Processing Centre  Tea Factory</v>
      </c>
      <c r="F558" s="4">
        <f>Sheet1!G558</f>
        <v>0</v>
      </c>
      <c r="G558" s="4" t="str">
        <f>Sheet1!J558</f>
        <v>Hapugastenna Plantation PLC95/A, NambapanaIngiriya</v>
      </c>
      <c r="H558" s="5" t="str">
        <f t="shared" si="2"/>
        <v xml:space="preserve"> View Map </v>
      </c>
    </row>
    <row r="559" spans="2:8" x14ac:dyDescent="0.2">
      <c r="B559" s="4" t="str">
        <f>PROPER(Sheet1!$B559&amp;" "&amp;"Tea Factory")</f>
        <v>Pine Hill Tea Factory</v>
      </c>
      <c r="F559" s="4">
        <f>Sheet1!G559</f>
        <v>0</v>
      </c>
      <c r="G559" s="4" t="str">
        <f>Sheet1!J559</f>
        <v>UdugalaAyagamaRatnapura</v>
      </c>
      <c r="H559" s="5" t="str">
        <f t="shared" si="2"/>
        <v xml:space="preserve"> View Map </v>
      </c>
    </row>
    <row r="560" spans="2:8" x14ac:dyDescent="0.2">
      <c r="B560" s="4" t="str">
        <f>PROPER(Sheet1!$B560&amp;" "&amp;"Tea Factory")</f>
        <v>Lucky Land  Tea Factory</v>
      </c>
      <c r="F560" s="4" t="str">
        <f>Sheet1!G560</f>
        <v>Udapussellawa</v>
      </c>
      <c r="G560" s="4" t="str">
        <f>Sheet1!J560</f>
        <v>Lakyland EstateUdapussellawa</v>
      </c>
      <c r="H560" s="5" t="str">
        <f t="shared" si="2"/>
        <v xml:space="preserve"> View Map </v>
      </c>
    </row>
    <row r="561" spans="2:8" x14ac:dyDescent="0.2">
      <c r="B561" s="4" t="str">
        <f>PROPER(Sheet1!$B561&amp;" "&amp;"Tea Factory")</f>
        <v>Ceytea Tea Factory</v>
      </c>
      <c r="F561" s="4">
        <f>Sheet1!G561</f>
        <v>0</v>
      </c>
      <c r="G561" s="4" t="str">
        <f>Sheet1!J561</f>
        <v>Agarapathana</v>
      </c>
      <c r="H561" s="5" t="str">
        <f t="shared" si="2"/>
        <v xml:space="preserve"> View Map </v>
      </c>
    </row>
    <row r="562" spans="2:8" x14ac:dyDescent="0.2">
      <c r="B562" s="4" t="str">
        <f>PROPER(Sheet1!$B562&amp;" "&amp;"Tea Factory")</f>
        <v>Ketiyatenne Tea Factory</v>
      </c>
      <c r="F562" s="4">
        <f>Sheet1!G562</f>
        <v>0</v>
      </c>
      <c r="G562" s="4" t="str">
        <f>Sheet1!J562</f>
        <v>Kahawatte.</v>
      </c>
      <c r="H562" s="5" t="str">
        <f t="shared" si="2"/>
        <v xml:space="preserve"> View Map </v>
      </c>
    </row>
    <row r="563" spans="2:8" x14ac:dyDescent="0.2">
      <c r="B563" s="4" t="str">
        <f>PROPER(Sheet1!$B563&amp;" "&amp;"Tea Factory")</f>
        <v>Upper Homadola Tea Factory</v>
      </c>
      <c r="F563" s="4">
        <f>Sheet1!G563</f>
        <v>0</v>
      </c>
      <c r="G563" s="4" t="str">
        <f>Sheet1!J563</f>
        <v>Homadola EstateUdugamaGalle</v>
      </c>
      <c r="H563" s="5" t="str">
        <f t="shared" si="2"/>
        <v xml:space="preserve"> View Map </v>
      </c>
    </row>
    <row r="564" spans="2:8" x14ac:dyDescent="0.2">
      <c r="B564" s="4" t="str">
        <f>PROPER(Sheet1!$B564&amp;" "&amp;"Tea Factory")</f>
        <v>Illuktenne Tea Factory</v>
      </c>
      <c r="F564" s="4">
        <f>Sheet1!G564</f>
        <v>0</v>
      </c>
      <c r="G564" s="4" t="str">
        <f>Sheet1!J564</f>
        <v>Miyanawita Estate,Deraniyagala.</v>
      </c>
      <c r="H564" s="5" t="str">
        <f t="shared" si="2"/>
        <v xml:space="preserve"> View Map </v>
      </c>
    </row>
    <row r="565" spans="2:8" x14ac:dyDescent="0.2">
      <c r="B565" s="4" t="str">
        <f>PROPER(Sheet1!$B565&amp;" "&amp;"Tea Factory")</f>
        <v>Nil Ella Tea Factory</v>
      </c>
      <c r="F565" s="4">
        <f>Sheet1!G565</f>
        <v>0</v>
      </c>
      <c r="G565" s="4" t="str">
        <f>Sheet1!J565</f>
        <v>Nill-Ella Tea FactoryKosnilgodaDeniyayaMatara</v>
      </c>
      <c r="H565" s="5" t="str">
        <f t="shared" si="2"/>
        <v xml:space="preserve"> View Map </v>
      </c>
    </row>
    <row r="566" spans="2:8" x14ac:dyDescent="0.2">
      <c r="B566" s="4" t="str">
        <f>PROPER(Sheet1!$B566&amp;" "&amp;"Tea Factory")</f>
        <v>Temcoop Tea Factory</v>
      </c>
      <c r="F566" s="4">
        <f>Sheet1!G566</f>
        <v>0</v>
      </c>
      <c r="G566" s="4" t="str">
        <f>Sheet1!J566</f>
        <v>Hemmeliya, B'gama</v>
      </c>
      <c r="H566" s="5" t="str">
        <f t="shared" si="2"/>
        <v xml:space="preserve"> View Map </v>
      </c>
    </row>
    <row r="567" spans="2:8" x14ac:dyDescent="0.2">
      <c r="B567" s="4" t="str">
        <f>PROPER(Sheet1!$B567&amp;" "&amp;"Tea Factory")</f>
        <v>Imbulgahagoda Tea Factory</v>
      </c>
      <c r="F567" s="4">
        <f>Sheet1!G567</f>
        <v>0</v>
      </c>
      <c r="G567" s="4" t="str">
        <f>Sheet1!J567</f>
        <v>Imbulgahagoda EstateWanduramba EstateGalle</v>
      </c>
      <c r="H567" s="5" t="str">
        <f t="shared" si="2"/>
        <v xml:space="preserve"> View Map </v>
      </c>
    </row>
    <row r="568" spans="2:8" x14ac:dyDescent="0.2">
      <c r="B568" s="4" t="str">
        <f>PROPER(Sheet1!$B568&amp;" "&amp;"Tea Factory")</f>
        <v>Nuwara Eliya Tea Factory</v>
      </c>
      <c r="F568" s="4" t="str">
        <f>Sheet1!G568</f>
        <v>Kikiliyamana</v>
      </c>
      <c r="G568" s="4" t="str">
        <f>Sheet1!J568</f>
        <v>Nuwaraeliya EstateLabukelle</v>
      </c>
      <c r="H568" s="5" t="str">
        <f t="shared" si="2"/>
        <v xml:space="preserve"> View Map </v>
      </c>
    </row>
    <row r="569" spans="2:8" x14ac:dyDescent="0.2">
      <c r="B569" s="4" t="str">
        <f>PROPER(Sheet1!$B569&amp;" "&amp;"Tea Factory")</f>
        <v>New Ratnawila Tea Factory</v>
      </c>
      <c r="F569" s="4">
        <f>Sheet1!G569</f>
        <v>0</v>
      </c>
      <c r="G569" s="4" t="str">
        <f>Sheet1!J569</f>
        <v>Moragala, Kirilapana.DeniyayaMatara</v>
      </c>
      <c r="H569" s="5" t="str">
        <f t="shared" si="2"/>
        <v xml:space="preserve"> View Map </v>
      </c>
    </row>
    <row r="570" spans="2:8" x14ac:dyDescent="0.2">
      <c r="B570" s="4" t="str">
        <f>PROPER(Sheet1!$B570&amp;" "&amp;"Tea Factory")</f>
        <v>Nil Kandura Tea Factory</v>
      </c>
      <c r="F570" s="4">
        <f>Sheet1!G570</f>
        <v>0</v>
      </c>
      <c r="G570" s="4" t="str">
        <f>Sheet1!J570</f>
        <v>Waduweliwitiya SouthBaddegama</v>
      </c>
      <c r="H570" s="5" t="str">
        <f t="shared" si="2"/>
        <v xml:space="preserve"> View Map </v>
      </c>
    </row>
    <row r="571" spans="2:8" x14ac:dyDescent="0.2">
      <c r="B571" s="4" t="str">
        <f>PROPER(Sheet1!$B571&amp;" "&amp;"Tea Factory")</f>
        <v>Kehelwala  Tea Factory</v>
      </c>
      <c r="F571" s="4">
        <f>Sheet1!G571</f>
        <v>0</v>
      </c>
      <c r="G571" s="4" t="str">
        <f>Sheet1!J571</f>
        <v>Kehelwala, Deraniyagala.</v>
      </c>
      <c r="H571" s="5" t="str">
        <f t="shared" si="2"/>
        <v xml:space="preserve"> View Map </v>
      </c>
    </row>
    <row r="572" spans="2:8" x14ac:dyDescent="0.2">
      <c r="B572" s="4" t="str">
        <f>PROPER(Sheet1!$B572&amp;" "&amp;"Tea Factory")</f>
        <v>Danlanda Tea Factory</v>
      </c>
      <c r="F572" s="4" t="str">
        <f>Sheet1!G572</f>
        <v>Pattigala</v>
      </c>
      <c r="G572" s="4" t="str">
        <f>Sheet1!J572</f>
        <v>Pattigala,Beralapanathara.</v>
      </c>
      <c r="H572" s="5" t="str">
        <f t="shared" si="2"/>
        <v xml:space="preserve"> View Map </v>
      </c>
    </row>
    <row r="573" spans="2:8" x14ac:dyDescent="0.2">
      <c r="B573" s="4" t="str">
        <f>PROPER(Sheet1!$B573&amp;" "&amp;"Tea Factory")</f>
        <v>Sineth Tea Factory</v>
      </c>
      <c r="F573" s="4" t="str">
        <f>Sheet1!G573</f>
        <v>Meda Mapalagama</v>
      </c>
      <c r="G573" s="4" t="str">
        <f>Sheet1!J573</f>
        <v>Meda MapalagamaGalle</v>
      </c>
      <c r="H573" s="5" t="str">
        <f t="shared" si="2"/>
        <v xml:space="preserve"> View Map </v>
      </c>
    </row>
    <row r="574" spans="2:8" x14ac:dyDescent="0.2">
      <c r="B574" s="4" t="str">
        <f>PROPER(Sheet1!$B574&amp;" "&amp;"Tea Factory")</f>
        <v>Kurunuduwatta Tea Factory</v>
      </c>
      <c r="F574" s="4">
        <f>Sheet1!G574</f>
        <v>0</v>
      </c>
      <c r="G574" s="4" t="str">
        <f>Sheet1!J574</f>
        <v>Gonamulla JunctionKuruduwatteGalle</v>
      </c>
      <c r="H574" s="5" t="str">
        <f t="shared" si="2"/>
        <v xml:space="preserve"> View Map </v>
      </c>
    </row>
    <row r="575" spans="2:8" x14ac:dyDescent="0.2">
      <c r="B575" s="4" t="str">
        <f>PROPER(Sheet1!$B575&amp;" "&amp;"Tea Factory")</f>
        <v>New Udakada Tea Factory</v>
      </c>
      <c r="F575" s="4">
        <f>Sheet1!G575</f>
        <v>0</v>
      </c>
      <c r="G575" s="4" t="str">
        <f>Sheet1!J575</f>
        <v>Kamarangahapitiya,Pelmadulla.</v>
      </c>
      <c r="H575" s="5" t="str">
        <f t="shared" si="2"/>
        <v xml:space="preserve"> View Map </v>
      </c>
    </row>
    <row r="576" spans="2:8" x14ac:dyDescent="0.2">
      <c r="B576" s="4" t="str">
        <f>PROPER(Sheet1!$B576&amp;" "&amp;"Tea Factory")</f>
        <v>Neptune Tea Factory</v>
      </c>
      <c r="F576" s="4">
        <f>Sheet1!G576</f>
        <v>0</v>
      </c>
      <c r="G576" s="4" t="str">
        <f>Sheet1!J576</f>
        <v>Welihena BopagodaAkuressa</v>
      </c>
      <c r="H576" s="5" t="str">
        <f t="shared" si="2"/>
        <v xml:space="preserve"> View Map </v>
      </c>
    </row>
    <row r="577" spans="2:8" x14ac:dyDescent="0.2">
      <c r="B577" s="4" t="str">
        <f>PROPER(Sheet1!$B577&amp;" "&amp;"Tea Factory")</f>
        <v>Kallumalay  Tea Factory</v>
      </c>
      <c r="F577" s="4" t="str">
        <f>Sheet1!G577</f>
        <v>Welgama</v>
      </c>
      <c r="G577" s="4" t="str">
        <f>Sheet1!J577</f>
        <v>Bulathsinghala</v>
      </c>
      <c r="H577" s="5" t="str">
        <f t="shared" si="2"/>
        <v xml:space="preserve"> View Map </v>
      </c>
    </row>
    <row r="578" spans="2:8" x14ac:dyDescent="0.2">
      <c r="B578" s="4" t="str">
        <f>PROPER(Sheet1!$B578&amp;" "&amp;"Tea Factory")</f>
        <v>Silvery Tea Factory</v>
      </c>
      <c r="F578" s="4">
        <f>Sheet1!G578</f>
        <v>0</v>
      </c>
      <c r="G578" s="4" t="str">
        <f>Sheet1!J578</f>
        <v>Nagoda,Galle.</v>
      </c>
      <c r="H578" s="5" t="str">
        <f t="shared" si="2"/>
        <v xml:space="preserve"> View Map </v>
      </c>
    </row>
    <row r="579" spans="2:8" x14ac:dyDescent="0.2">
      <c r="B579" s="4" t="str">
        <f>PROPER(Sheet1!$B579&amp;" "&amp;"Tea Factory")</f>
        <v>Edengrove Tea Factory</v>
      </c>
      <c r="F579" s="4" t="str">
        <f>Sheet1!G579</f>
        <v>Ritiyagama</v>
      </c>
      <c r="G579" s="4" t="str">
        <f>Sheet1!J579</f>
        <v>Edengrove EstateUdispattuwa</v>
      </c>
      <c r="H579" s="5" t="str">
        <f t="shared" si="2"/>
        <v xml:space="preserve"> View Map </v>
      </c>
    </row>
    <row r="580" spans="2:8" x14ac:dyDescent="0.2">
      <c r="B580" s="4" t="str">
        <f>PROPER(Sheet1!$B580&amp;" "&amp;"Tea Factory")</f>
        <v>Seetha Eliya  Tea Factory</v>
      </c>
      <c r="F580" s="4">
        <f>Sheet1!G580</f>
        <v>0</v>
      </c>
      <c r="G580" s="4" t="str">
        <f>Sheet1!J580</f>
        <v>Kandilpana,Deniyaya,Matara.</v>
      </c>
      <c r="H580" s="5" t="str">
        <f t="shared" si="2"/>
        <v xml:space="preserve"> View Map </v>
      </c>
    </row>
    <row r="581" spans="2:8" x14ac:dyDescent="0.2">
      <c r="B581" s="4" t="str">
        <f>PROPER(Sheet1!$B581&amp;" "&amp;"Tea Factory")</f>
        <v>Neluwa Medagama Tea Factory</v>
      </c>
      <c r="F581" s="4">
        <f>Sheet1!G581</f>
        <v>0</v>
      </c>
      <c r="G581" s="4" t="str">
        <f>Sheet1!J581</f>
        <v>Neluwa,Galle.</v>
      </c>
      <c r="H581" s="5" t="str">
        <f t="shared" si="2"/>
        <v xml:space="preserve"> View Map </v>
      </c>
    </row>
    <row r="582" spans="2:8" x14ac:dyDescent="0.2">
      <c r="B582" s="4" t="str">
        <f>PROPER(Sheet1!$B582&amp;" "&amp;"Tea Factory")</f>
        <v>Ruwanthanne Tea Factory</v>
      </c>
      <c r="F582" s="4">
        <f>Sheet1!G582</f>
        <v>0</v>
      </c>
      <c r="G582" s="4" t="str">
        <f>Sheet1!J582</f>
        <v>NevungalaKottawagamaGalle</v>
      </c>
      <c r="H582" s="5" t="str">
        <f t="shared" si="2"/>
        <v xml:space="preserve"> View Map </v>
      </c>
    </row>
    <row r="583" spans="2:8" x14ac:dyDescent="0.2">
      <c r="B583" s="4" t="str">
        <f>PROPER(Sheet1!$B583&amp;" "&amp;"Tea Factory")</f>
        <v>Kolonna Tea Factory</v>
      </c>
      <c r="F583" s="4">
        <f>Sheet1!G583</f>
        <v>0</v>
      </c>
      <c r="G583" s="4" t="str">
        <f>Sheet1!J583</f>
        <v>BoralankadaVia Dehiovita.Kegalle</v>
      </c>
      <c r="H583" s="5" t="str">
        <f t="shared" si="2"/>
        <v xml:space="preserve"> View Map </v>
      </c>
    </row>
    <row r="584" spans="2:8" x14ac:dyDescent="0.2">
      <c r="B584" s="4" t="str">
        <f>PROPER(Sheet1!$B584&amp;" "&amp;"Tea Factory")</f>
        <v>Deshika Tea Factory</v>
      </c>
      <c r="F584" s="4">
        <f>Sheet1!G584</f>
        <v>0</v>
      </c>
      <c r="G584" s="4" t="str">
        <f>Sheet1!J584</f>
        <v>KottalaAtakalampannaRatnapura.</v>
      </c>
      <c r="H584" s="5" t="str">
        <f t="shared" si="2"/>
        <v xml:space="preserve"> View Map </v>
      </c>
    </row>
    <row r="585" spans="2:8" x14ac:dyDescent="0.2">
      <c r="B585" s="4" t="str">
        <f>PROPER(Sheet1!$B585&amp;" "&amp;"Tea Factory")</f>
        <v>Sinensis Tea Factory</v>
      </c>
      <c r="F585" s="4">
        <f>Sheet1!G585</f>
        <v>0</v>
      </c>
      <c r="G585" s="4" t="str">
        <f>Sheet1!J585</f>
        <v>Midella,Thalawa,Wanduramba,Galle.</v>
      </c>
      <c r="H585" s="5" t="str">
        <f t="shared" si="2"/>
        <v xml:space="preserve"> View Map </v>
      </c>
    </row>
    <row r="586" spans="2:8" x14ac:dyDescent="0.2">
      <c r="B586" s="4" t="str">
        <f>PROPER(Sheet1!$B586&amp;" "&amp;"Tea Factory")</f>
        <v>Thalgampola Tea Factory</v>
      </c>
      <c r="F586" s="4">
        <f>Sheet1!G586</f>
        <v>0</v>
      </c>
      <c r="G586" s="4" t="str">
        <f>Sheet1!J586</f>
        <v>Thalgampola Via,Galle.</v>
      </c>
      <c r="H586" s="5" t="str">
        <f t="shared" si="2"/>
        <v xml:space="preserve"> View Map </v>
      </c>
    </row>
    <row r="587" spans="2:8" x14ac:dyDescent="0.2">
      <c r="B587" s="4" t="str">
        <f>PROPER(Sheet1!$B587&amp;" "&amp;"Tea Factory")</f>
        <v>Richiland Tea Factory</v>
      </c>
      <c r="F587" s="4" t="str">
        <f>Sheet1!G587</f>
        <v>Bateyaya</v>
      </c>
      <c r="G587" s="4" t="str">
        <f>Sheet1!J587</f>
        <v>Batayaya,Deniyaya.</v>
      </c>
      <c r="H587" s="5" t="str">
        <f t="shared" si="2"/>
        <v xml:space="preserve"> View Map </v>
      </c>
    </row>
    <row r="588" spans="2:8" x14ac:dyDescent="0.2">
      <c r="B588" s="4" t="str">
        <f>PROPER(Sheet1!$B588&amp;" "&amp;"Tea Factory")</f>
        <v>Gona Pinuwela  Tea Factory</v>
      </c>
      <c r="F588" s="4">
        <f>Sheet1!G588</f>
        <v>0</v>
      </c>
      <c r="G588" s="4" t="str">
        <f>Sheet1!J588</f>
        <v>Weihena, Mattaka.</v>
      </c>
      <c r="H588" s="5" t="str">
        <f t="shared" si="2"/>
        <v xml:space="preserve"> View Map </v>
      </c>
    </row>
    <row r="589" spans="2:8" x14ac:dyDescent="0.2">
      <c r="B589" s="4" t="str">
        <f>PROPER(Sheet1!$B589&amp;" "&amp;"Tea Factory")</f>
        <v>Pasgoda Tea Factory</v>
      </c>
      <c r="F589" s="4">
        <f>Sheet1!G589</f>
        <v>0</v>
      </c>
      <c r="G589" s="4" t="str">
        <f>Sheet1!J589</f>
        <v>PasgodaMatara</v>
      </c>
      <c r="H589" s="5" t="str">
        <f t="shared" si="2"/>
        <v xml:space="preserve"> View Map </v>
      </c>
    </row>
    <row r="590" spans="2:8" x14ac:dyDescent="0.2">
      <c r="B590" s="4" t="str">
        <f>PROPER(Sheet1!$B590&amp;" "&amp;"Tea Factory")</f>
        <v>Davidson  Tea Factory</v>
      </c>
      <c r="F590" s="4">
        <f>Sheet1!G590</f>
        <v>0</v>
      </c>
      <c r="G590" s="4" t="str">
        <f>Sheet1!J590</f>
        <v>WandurabaGalle</v>
      </c>
      <c r="H590" s="5" t="str">
        <f t="shared" si="2"/>
        <v xml:space="preserve"> View Map </v>
      </c>
    </row>
    <row r="591" spans="2:8" x14ac:dyDescent="0.2">
      <c r="B591" s="4" t="str">
        <f>PROPER(Sheet1!$B591&amp;" "&amp;"Tea Factory")</f>
        <v>New Southern Hill Tea Factory</v>
      </c>
      <c r="F591" s="4">
        <f>Sheet1!G591</f>
        <v>0</v>
      </c>
      <c r="G591" s="4" t="str">
        <f>Sheet1!J591</f>
        <v>EdadukithaAlapaladeniyaPitabeddaraMatara</v>
      </c>
      <c r="H591" s="5" t="str">
        <f t="shared" si="2"/>
        <v xml:space="preserve"> View Map </v>
      </c>
    </row>
    <row r="592" spans="2:8" x14ac:dyDescent="0.2">
      <c r="B592" s="4" t="str">
        <f>PROPER(Sheet1!$B592&amp;" "&amp;"Tea Factory")</f>
        <v>Bandarahena Tea Factory</v>
      </c>
      <c r="F592" s="4">
        <f>Sheet1!G592</f>
        <v>0</v>
      </c>
      <c r="G592" s="4" t="str">
        <f>Sheet1!J592</f>
        <v>Delwala,Ratnapura.</v>
      </c>
      <c r="H592" s="5" t="str">
        <f t="shared" si="2"/>
        <v xml:space="preserve"> View Map </v>
      </c>
    </row>
    <row r="593" spans="2:8" x14ac:dyDescent="0.2">
      <c r="B593" s="4" t="str">
        <f>PROPER(Sheet1!$B593&amp;" "&amp;"Tea Factory")</f>
        <v>Kudugalhena Tea Factory</v>
      </c>
      <c r="F593" s="4">
        <f>Sheet1!G593</f>
        <v>0</v>
      </c>
      <c r="G593" s="4" t="str">
        <f>Sheet1!J593</f>
        <v>Rakwana Road,Pelmadulla.</v>
      </c>
      <c r="H593" s="5" t="str">
        <f t="shared" si="2"/>
        <v xml:space="preserve"> View Map </v>
      </c>
    </row>
    <row r="594" spans="2:8" x14ac:dyDescent="0.2">
      <c r="B594" s="4" t="str">
        <f>PROPER(Sheet1!$B594&amp;" "&amp;"Tea Factory")</f>
        <v>Singhakawaya Tea Factory</v>
      </c>
      <c r="F594" s="4">
        <f>Sheet1!G594</f>
        <v>0</v>
      </c>
      <c r="G594" s="4" t="str">
        <f>Sheet1!J594</f>
        <v>Ambana,Kahaduwa.</v>
      </c>
      <c r="H594" s="5" t="str">
        <f t="shared" si="2"/>
        <v xml:space="preserve"> View Map </v>
      </c>
    </row>
    <row r="595" spans="2:8" x14ac:dyDescent="0.2">
      <c r="B595" s="4" t="str">
        <f>PROPER(Sheet1!$B595&amp;" "&amp;"Tea Factory")</f>
        <v>Mahambana  Tea Factory</v>
      </c>
      <c r="F595" s="4">
        <f>Sheet1!G595</f>
        <v>0</v>
      </c>
      <c r="G595" s="4" t="str">
        <f>Sheet1!J595</f>
        <v>UnanwitiyaBaddegamaGalle</v>
      </c>
      <c r="H595" s="5" t="str">
        <f t="shared" si="2"/>
        <v xml:space="preserve"> View Map </v>
      </c>
    </row>
    <row r="596" spans="2:8" x14ac:dyDescent="0.2">
      <c r="B596" s="4" t="str">
        <f>PROPER(Sheet1!$B596&amp;" "&amp;"Tea Factory")</f>
        <v>Mulatiyana  Tea Factory</v>
      </c>
      <c r="F596" s="4" t="str">
        <f>Sheet1!G596</f>
        <v>MULATIYANA</v>
      </c>
      <c r="G596" s="4" t="str">
        <f>Sheet1!J596</f>
        <v>Mulatiyana Junction,Mulatiyana,Matara.</v>
      </c>
      <c r="H596" s="5" t="str">
        <f t="shared" si="2"/>
        <v xml:space="preserve"> View Map </v>
      </c>
    </row>
    <row r="597" spans="2:8" x14ac:dyDescent="0.2">
      <c r="B597" s="4" t="str">
        <f>PROPER(Sheet1!$B597&amp;" "&amp;"Tea Factory")</f>
        <v>Halvitigala Tea Factory</v>
      </c>
      <c r="F597" s="4">
        <f>Sheet1!G597</f>
        <v>0</v>
      </c>
      <c r="G597" s="4" t="str">
        <f>Sheet1!J597</f>
        <v>Tea smallholder Factories PLCHalvitigala</v>
      </c>
      <c r="H597" s="5" t="str">
        <f t="shared" si="2"/>
        <v xml:space="preserve"> View Map </v>
      </c>
    </row>
    <row r="598" spans="2:8" x14ac:dyDescent="0.2">
      <c r="B598" s="4" t="str">
        <f>PROPER(Sheet1!$B598&amp;" "&amp;"Tea Factory")</f>
        <v>Dampahala  Tea Factory</v>
      </c>
      <c r="F598" s="4">
        <f>Sheet1!G598</f>
        <v>0</v>
      </c>
      <c r="G598" s="4" t="str">
        <f>Sheet1!J598</f>
        <v>Dampahala,Matara.</v>
      </c>
      <c r="H598" s="5" t="str">
        <f t="shared" si="2"/>
        <v xml:space="preserve"> View Map </v>
      </c>
    </row>
    <row r="599" spans="2:8" x14ac:dyDescent="0.2">
      <c r="B599" s="4" t="str">
        <f>PROPER(Sheet1!$B599&amp;" "&amp;"Tea Factory")</f>
        <v>Kurupanawa Tea Factory</v>
      </c>
      <c r="F599" s="4">
        <f>Sheet1!G599</f>
        <v>0</v>
      </c>
      <c r="G599" s="4" t="str">
        <f>Sheet1!J599</f>
        <v>Nagoda Galle</v>
      </c>
      <c r="H599" s="5" t="str">
        <f t="shared" si="2"/>
        <v xml:space="preserve"> View Map </v>
      </c>
    </row>
    <row r="600" spans="2:8" x14ac:dyDescent="0.2">
      <c r="B600" s="4" t="str">
        <f>PROPER(Sheet1!$B600&amp;" "&amp;"Tea Factory")</f>
        <v>Hingulgoda  Tea Factory</v>
      </c>
      <c r="F600" s="4">
        <f>Sheet1!G600</f>
        <v>0</v>
      </c>
      <c r="G600" s="4" t="str">
        <f>Sheet1!J600</f>
        <v>HinidumaGalle</v>
      </c>
      <c r="H600" s="5" t="str">
        <f t="shared" si="2"/>
        <v xml:space="preserve"> View Map </v>
      </c>
    </row>
    <row r="601" spans="2:8" x14ac:dyDescent="0.2">
      <c r="B601" s="4" t="str">
        <f>PROPER(Sheet1!$B601&amp;" "&amp;"Tea Factory")</f>
        <v>Marakanda  Tea Factory</v>
      </c>
      <c r="F601" s="4">
        <f>Sheet1!G601</f>
        <v>0</v>
      </c>
      <c r="G601" s="4" t="str">
        <f>Sheet1!J601</f>
        <v>Marakanda,Poddiwela,Mattaka.</v>
      </c>
      <c r="H601" s="5" t="str">
        <f t="shared" si="2"/>
        <v xml:space="preserve"> View Map </v>
      </c>
    </row>
    <row r="602" spans="2:8" x14ac:dyDescent="0.2">
      <c r="B602" s="4" t="str">
        <f>PROPER(Sheet1!$B602&amp;" "&amp;"Tea Factory")</f>
        <v>Deiyandara Tea Factory</v>
      </c>
      <c r="F602" s="4">
        <f>Sheet1!G602</f>
        <v>0</v>
      </c>
      <c r="G602" s="4">
        <f>Sheet1!J602</f>
        <v>0</v>
      </c>
      <c r="H602" s="5" t="str">
        <f t="shared" si="2"/>
        <v xml:space="preserve"> View Map </v>
      </c>
    </row>
    <row r="603" spans="2:8" x14ac:dyDescent="0.2">
      <c r="B603" s="4" t="str">
        <f>PROPER(Sheet1!$B603&amp;" "&amp;"Tea Factory")</f>
        <v>Diyadola Tea Factory</v>
      </c>
      <c r="F603" s="4">
        <f>Sheet1!G603</f>
        <v>0</v>
      </c>
      <c r="G603" s="4" t="str">
        <f>Sheet1!J603</f>
        <v>Habarakada, Tawalama</v>
      </c>
      <c r="H603" s="5" t="str">
        <f t="shared" si="2"/>
        <v xml:space="preserve"> View Map </v>
      </c>
    </row>
    <row r="604" spans="2:8" x14ac:dyDescent="0.2">
      <c r="B604" s="4" t="str">
        <f>PROPER(Sheet1!$B604&amp;" "&amp;"Tea Factory")</f>
        <v>Lumbini Tea Factory</v>
      </c>
      <c r="F604" s="4">
        <f>Sheet1!G604</f>
        <v>0</v>
      </c>
      <c r="G604" s="4" t="str">
        <f>Sheet1!J604</f>
        <v>Lumbini WatteKolawenigamaDeniyaya</v>
      </c>
      <c r="H604" s="5" t="str">
        <f t="shared" si="2"/>
        <v xml:space="preserve"> View Map </v>
      </c>
    </row>
    <row r="605" spans="2:8" x14ac:dyDescent="0.2">
      <c r="B605" s="4" t="str">
        <f>PROPER(Sheet1!$B605&amp;" "&amp;"Tea Factory")</f>
        <v>Yakkalamulla Tea Factory</v>
      </c>
      <c r="F605" s="4">
        <f>Sheet1!G605</f>
        <v>0</v>
      </c>
      <c r="G605" s="4" t="str">
        <f>Sheet1!J605</f>
        <v>Akuressa Road,Yakkalamulla</v>
      </c>
      <c r="H605" s="5" t="str">
        <f t="shared" si="2"/>
        <v xml:space="preserve"> View Map </v>
      </c>
    </row>
    <row r="606" spans="2:8" x14ac:dyDescent="0.2">
      <c r="B606" s="4" t="str">
        <f>PROPER(Sheet1!$B606&amp;" "&amp;"Tea Factory")</f>
        <v>Yalta Tea Factory</v>
      </c>
      <c r="F606" s="4">
        <f>Sheet1!G606</f>
        <v>0</v>
      </c>
      <c r="G606" s="4" t="str">
        <f>Sheet1!J606</f>
        <v>Deniyaya Road,Waralla</v>
      </c>
      <c r="H606" s="5" t="str">
        <f t="shared" si="2"/>
        <v xml:space="preserve"> View Map </v>
      </c>
    </row>
    <row r="607" spans="2:8" x14ac:dyDescent="0.2">
      <c r="B607" s="4" t="str">
        <f>PROPER(Sheet1!$B607&amp;" "&amp;"Tea Factory")</f>
        <v>Three Times Tea Factory</v>
      </c>
      <c r="F607" s="4">
        <f>Sheet1!G607</f>
        <v>0</v>
      </c>
      <c r="G607" s="4" t="str">
        <f>Sheet1!J607</f>
        <v>WeliwelaMorawaka</v>
      </c>
      <c r="H607" s="5" t="str">
        <f t="shared" si="2"/>
        <v xml:space="preserve"> View Map </v>
      </c>
    </row>
    <row r="608" spans="2:8" x14ac:dyDescent="0.2">
      <c r="B608" s="4" t="str">
        <f>PROPER(Sheet1!$B608&amp;" "&amp;"Tea Factory")</f>
        <v>Duliella Tea Factory</v>
      </c>
      <c r="F608" s="4">
        <f>Sheet1!G608</f>
        <v>0</v>
      </c>
      <c r="G608" s="4" t="str">
        <f>Sheet1!J608</f>
        <v>KosmullaNeluwa</v>
      </c>
      <c r="H608" s="5" t="str">
        <f t="shared" si="2"/>
        <v xml:space="preserve"> View Map </v>
      </c>
    </row>
    <row r="609" spans="2:8" x14ac:dyDescent="0.2">
      <c r="B609" s="4" t="str">
        <f>PROPER(Sheet1!$B609&amp;" "&amp;"Tea Factory")</f>
        <v>Evergreen Tea Factory</v>
      </c>
      <c r="F609" s="4">
        <f>Sheet1!G609</f>
        <v>0</v>
      </c>
      <c r="G609" s="4" t="str">
        <f>Sheet1!J609</f>
        <v>Thalawa Rd, HorangallaThalgaswala</v>
      </c>
      <c r="H609" s="5" t="str">
        <f t="shared" si="2"/>
        <v xml:space="preserve"> View Map </v>
      </c>
    </row>
    <row r="610" spans="2:8" x14ac:dyDescent="0.2">
      <c r="B610" s="4" t="str">
        <f>PROPER(Sheet1!$B610&amp;" "&amp;"Tea Factory")</f>
        <v>Kongahawatte Tea Factory</v>
      </c>
      <c r="F610" s="4" t="str">
        <f>Sheet1!G610</f>
        <v>Rilhena</v>
      </c>
      <c r="G610" s="4" t="str">
        <f>Sheet1!J610</f>
        <v>Rilhena,Pelmadulla.</v>
      </c>
      <c r="H610" s="5" t="str">
        <f t="shared" si="2"/>
        <v xml:space="preserve"> View Map </v>
      </c>
    </row>
    <row r="611" spans="2:8" x14ac:dyDescent="0.2">
      <c r="B611" s="4" t="str">
        <f>PROPER(Sheet1!$B611&amp;" "&amp;"Tea Factory")</f>
        <v>Malpudanella Tea Factory</v>
      </c>
      <c r="F611" s="4">
        <f>Sheet1!G611</f>
        <v>0</v>
      </c>
      <c r="G611" s="4" t="str">
        <f>Sheet1!J611</f>
        <v>Banagala,Opatha.</v>
      </c>
      <c r="H611" s="5" t="str">
        <f t="shared" si="2"/>
        <v xml:space="preserve"> View Map </v>
      </c>
    </row>
    <row r="612" spans="2:8" x14ac:dyDescent="0.2">
      <c r="B612" s="4" t="str">
        <f>PROPER(Sheet1!$B612&amp;" "&amp;"Tea Factory")</f>
        <v>Bentota Tea Factory</v>
      </c>
      <c r="F612" s="4">
        <f>Sheet1!G612</f>
        <v>0</v>
      </c>
      <c r="G612" s="4" t="str">
        <f>Sheet1!J612</f>
        <v>Madampe NorthGodakawelaRatnapura</v>
      </c>
      <c r="H612" s="5" t="str">
        <f t="shared" si="2"/>
        <v xml:space="preserve"> View Map </v>
      </c>
    </row>
    <row r="613" spans="2:8" x14ac:dyDescent="0.2">
      <c r="B613" s="4" t="str">
        <f>PROPER(Sheet1!$B613&amp;" "&amp;"Tea Factory")</f>
        <v>Magedara Tea Factory</v>
      </c>
      <c r="F613" s="4">
        <f>Sheet1!G613</f>
        <v>0</v>
      </c>
      <c r="G613" s="4" t="str">
        <f>Sheet1!J613</f>
        <v>Magedara, Galle.</v>
      </c>
      <c r="H613" s="5" t="str">
        <f t="shared" si="2"/>
        <v xml:space="preserve"> View Map </v>
      </c>
    </row>
    <row r="614" spans="2:8" x14ac:dyDescent="0.2">
      <c r="B614" s="4" t="str">
        <f>PROPER(Sheet1!$B614&amp;" "&amp;"Tea Factory")</f>
        <v>Southern Porowagama Tea Factory</v>
      </c>
      <c r="F614" s="4">
        <f>Sheet1!G614</f>
        <v>0</v>
      </c>
      <c r="G614" s="4" t="str">
        <f>Sheet1!J614</f>
        <v>Porawagama</v>
      </c>
      <c r="H614" s="5" t="str">
        <f t="shared" si="2"/>
        <v xml:space="preserve"> View Map </v>
      </c>
    </row>
    <row r="615" spans="2:8" x14ac:dyDescent="0.2">
      <c r="B615" s="4" t="str">
        <f>PROPER(Sheet1!$B615&amp;" "&amp;"Tea Factory")</f>
        <v>Neo Tea Processing  Tea Factory</v>
      </c>
      <c r="F615" s="4">
        <f>Sheet1!G615</f>
        <v>0</v>
      </c>
      <c r="G615" s="4" t="str">
        <f>Sheet1!J615</f>
        <v>Niyagama,Thalgaswala.</v>
      </c>
      <c r="H615" s="5" t="str">
        <f t="shared" si="2"/>
        <v xml:space="preserve"> View Map </v>
      </c>
    </row>
    <row r="616" spans="2:8" x14ac:dyDescent="0.2">
      <c r="B616" s="4" t="str">
        <f>PROPER(Sheet1!$B616&amp;" "&amp;"Tea Factory")</f>
        <v>Ruhunuputha Tea Factory</v>
      </c>
      <c r="F616" s="4" t="str">
        <f>Sheet1!G616</f>
        <v>Pahala Maliduwa</v>
      </c>
      <c r="G616" s="4" t="str">
        <f>Sheet1!J616</f>
        <v>Maliduwa EstateAkuressa.</v>
      </c>
      <c r="H616" s="5" t="str">
        <f t="shared" si="2"/>
        <v xml:space="preserve"> View Map </v>
      </c>
    </row>
    <row r="617" spans="2:8" x14ac:dyDescent="0.2">
      <c r="B617" s="4" t="str">
        <f>PROPER(Sheet1!$B617&amp;" "&amp;"Tea Factory")</f>
        <v>Batuwangala Tea Factory</v>
      </c>
      <c r="F617" s="4" t="str">
        <f>Sheet1!G617</f>
        <v>Lelwala</v>
      </c>
      <c r="G617" s="4" t="str">
        <f>Sheet1!J617</f>
        <v>Morawaka Road,Lelwala,Neluwa.</v>
      </c>
      <c r="H617" s="5" t="str">
        <f t="shared" si="2"/>
        <v xml:space="preserve"> View Map </v>
      </c>
    </row>
    <row r="618" spans="2:8" x14ac:dyDescent="0.2">
      <c r="B618" s="4" t="str">
        <f>PROPER(Sheet1!$B618&amp;" "&amp;"Tea Factory")</f>
        <v>Neew Macaldeniya  Tea Factory</v>
      </c>
      <c r="F618" s="4" t="str">
        <f>Sheet1!G618</f>
        <v>Kanwanguhawa</v>
      </c>
      <c r="G618" s="4" t="str">
        <f>Sheet1!J618</f>
        <v>New Makaldeniya EstateKarlanda</v>
      </c>
      <c r="H618" s="5" t="str">
        <f t="shared" si="2"/>
        <v xml:space="preserve"> View Map </v>
      </c>
    </row>
    <row r="619" spans="2:8" x14ac:dyDescent="0.2">
      <c r="B619" s="4" t="str">
        <f>PROPER(Sheet1!$B619&amp;" "&amp;"Tea Factory")</f>
        <v>Kurunduhena Tea Factory</v>
      </c>
      <c r="F619" s="4" t="str">
        <f>Sheet1!G619</f>
        <v>Thalawa</v>
      </c>
      <c r="G619" s="4" t="str">
        <f>Sheet1!J619</f>
        <v>Thalawa,Waduramba.</v>
      </c>
      <c r="H619" s="5" t="str">
        <f t="shared" si="2"/>
        <v xml:space="preserve"> View Map </v>
      </c>
    </row>
    <row r="620" spans="2:8" x14ac:dyDescent="0.2">
      <c r="B620" s="4" t="str">
        <f>PROPER(Sheet1!$B620&amp;" "&amp;"Tea Factory")</f>
        <v>Hillgarden Tea Factory</v>
      </c>
      <c r="F620" s="4" t="str">
        <f>Sheet1!G620</f>
        <v>Weihena</v>
      </c>
      <c r="G620" s="4" t="str">
        <f>Sheet1!J620</f>
        <v>Indurupathvila,Weihena,Baddegama.</v>
      </c>
      <c r="H620" s="5" t="str">
        <f t="shared" si="2"/>
        <v xml:space="preserve"> View Map </v>
      </c>
    </row>
    <row r="621" spans="2:8" x14ac:dyDescent="0.2">
      <c r="B621" s="4" t="str">
        <f>PROPER(Sheet1!$B621&amp;" "&amp;"Tea Factory")</f>
        <v>Peak Paradise Tea Factory</v>
      </c>
      <c r="F621" s="4" t="str">
        <f>Sheet1!G621</f>
        <v>Kuruvita</v>
      </c>
      <c r="G621" s="4" t="str">
        <f>Sheet1!J621</f>
        <v>Isuru Place,Paradise,Kuruwita</v>
      </c>
      <c r="H621" s="5" t="str">
        <f t="shared" si="2"/>
        <v xml:space="preserve"> View Map </v>
      </c>
    </row>
    <row r="622" spans="2:8" x14ac:dyDescent="0.2">
      <c r="B622" s="4" t="str">
        <f>PROPER(Sheet1!$B622&amp;" "&amp;"Tea Factory")</f>
        <v>Proboda Tea Factory</v>
      </c>
      <c r="F622" s="4" t="str">
        <f>Sheet1!G622</f>
        <v>Kirimetiya</v>
      </c>
      <c r="G622" s="4" t="str">
        <f>Sheet1!J622</f>
        <v>Batapola,Karandeniya.</v>
      </c>
      <c r="H622" s="5" t="str">
        <f t="shared" si="2"/>
        <v xml:space="preserve"> View Map </v>
      </c>
    </row>
    <row r="623" spans="2:8" x14ac:dyDescent="0.2">
      <c r="B623" s="4" t="str">
        <f>PROPER(Sheet1!$B623&amp;" "&amp;"Tea Factory")</f>
        <v>Bambarakanda  Tea Factory</v>
      </c>
      <c r="F623" s="4" t="str">
        <f>Sheet1!G623</f>
        <v>Babarawana</v>
      </c>
      <c r="G623" s="4" t="str">
        <f>Sheet1!J623</f>
        <v>BambarawanaMattaka.</v>
      </c>
      <c r="H623" s="5" t="str">
        <f t="shared" si="2"/>
        <v xml:space="preserve"> View Map </v>
      </c>
    </row>
    <row r="624" spans="2:8" x14ac:dyDescent="0.2">
      <c r="B624" s="4" t="str">
        <f>PROPER(Sheet1!$B624&amp;" "&amp;"Tea Factory")</f>
        <v>Thiruwanakanda Tea Factory</v>
      </c>
      <c r="F624" s="4" t="str">
        <f>Sheet1!G624</f>
        <v>Kottawa</v>
      </c>
      <c r="G624" s="4" t="str">
        <f>Sheet1!J624</f>
        <v>Kottawagama,Galle.</v>
      </c>
      <c r="H624" s="5" t="str">
        <f t="shared" si="2"/>
        <v xml:space="preserve"> View Map </v>
      </c>
    </row>
    <row r="625" spans="2:8" x14ac:dyDescent="0.2">
      <c r="B625" s="4" t="str">
        <f>PROPER(Sheet1!$B625&amp;" "&amp;"Tea Factory")</f>
        <v>Thilaka Tea Factory</v>
      </c>
      <c r="F625" s="4" t="str">
        <f>Sheet1!G625</f>
        <v>Pituwala</v>
      </c>
      <c r="G625" s="4" t="str">
        <f>Sheet1!J625</f>
        <v>Pituwala,Elpitiya.</v>
      </c>
      <c r="H625" s="5" t="str">
        <f t="shared" si="2"/>
        <v xml:space="preserve"> View Map </v>
      </c>
    </row>
    <row r="626" spans="2:8" x14ac:dyDescent="0.2">
      <c r="B626" s="4" t="str">
        <f>PROPER(Sheet1!$B626&amp;" "&amp;"Tea Factory")</f>
        <v>Dishan Valley Tea Factory</v>
      </c>
      <c r="F626" s="4" t="str">
        <f>Sheet1!G626</f>
        <v>Morawaka</v>
      </c>
      <c r="G626" s="4" t="str">
        <f>Sheet1!J626</f>
        <v>133,Jawatte Road,Colombo 05</v>
      </c>
      <c r="H626" s="5" t="str">
        <f t="shared" si="2"/>
        <v xml:space="preserve"> View Map </v>
      </c>
    </row>
    <row r="627" spans="2:8" x14ac:dyDescent="0.2">
      <c r="B627" s="4" t="str">
        <f>PROPER(Sheet1!$B627&amp;" "&amp;"Tea Factory")</f>
        <v>Udu Ella  Tea Factory</v>
      </c>
      <c r="F627" s="4" t="str">
        <f>Sheet1!G627</f>
        <v>Ella Ihala</v>
      </c>
      <c r="G627" s="4" t="str">
        <f>Sheet1!J627</f>
        <v>EllaIhala,Magedara,Galle.</v>
      </c>
      <c r="H627" s="5" t="str">
        <f t="shared" si="2"/>
        <v xml:space="preserve"> View Map </v>
      </c>
    </row>
    <row r="628" spans="2:8" x14ac:dyDescent="0.2">
      <c r="B628" s="4" t="str">
        <f>PROPER(Sheet1!$B628&amp;" "&amp;"Tea Factory")</f>
        <v>New Gamini Tea Factory</v>
      </c>
      <c r="F628" s="4" t="str">
        <f>Sheet1!G628</f>
        <v>Deniyaya</v>
      </c>
      <c r="G628" s="4" t="str">
        <f>Sheet1!J628</f>
        <v>Pallegama Raod,Deniyaya.</v>
      </c>
      <c r="H628" s="5" t="str">
        <f t="shared" si="2"/>
        <v xml:space="preserve"> View Map </v>
      </c>
    </row>
    <row r="629" spans="2:8" x14ac:dyDescent="0.2">
      <c r="B629" s="4" t="str">
        <f>PROPER(Sheet1!$B629&amp;" "&amp;"Tea Factory")</f>
        <v>New Nawalakanda Tea Factory</v>
      </c>
      <c r="F629" s="4" t="str">
        <f>Sheet1!G629</f>
        <v>Panapitiya</v>
      </c>
      <c r="G629" s="4" t="str">
        <f>Sheet1!J629</f>
        <v>Nawalakanda,Uada Haupe,Kahawatte.</v>
      </c>
      <c r="H629" s="5" t="str">
        <f t="shared" si="2"/>
        <v xml:space="preserve"> View Map </v>
      </c>
    </row>
    <row r="630" spans="2:8" x14ac:dyDescent="0.2">
      <c r="B630" s="4" t="str">
        <f>PROPER(Sheet1!$B630&amp;" "&amp;"Tea Factory")</f>
        <v>Randiv Tea Factory</v>
      </c>
      <c r="F630" s="4" t="str">
        <f>Sheet1!G630</f>
        <v>Keebikanda</v>
      </c>
      <c r="G630" s="4" t="str">
        <f>Sheet1!J630</f>
        <v>Keembikanda,Wanduramba,Galle.</v>
      </c>
      <c r="H630" s="5" t="str">
        <f t="shared" si="2"/>
        <v xml:space="preserve"> View Map </v>
      </c>
    </row>
    <row r="631" spans="2:8" x14ac:dyDescent="0.2">
      <c r="B631" s="4" t="str">
        <f>PROPER(Sheet1!$B631&amp;" "&amp;"Tea Factory")</f>
        <v>Nawagamuwahena Tea Factory</v>
      </c>
      <c r="F631" s="4" t="str">
        <f>Sheet1!G631</f>
        <v>Sannasgama</v>
      </c>
      <c r="G631" s="4" t="str">
        <f>Sheet1!J631</f>
        <v>Sannasgama,Lellopitiya,Ratnapura.</v>
      </c>
      <c r="H631" s="5" t="str">
        <f t="shared" si="2"/>
        <v xml:space="preserve"> View Map </v>
      </c>
    </row>
    <row r="632" spans="2:8" x14ac:dyDescent="0.2">
      <c r="B632" s="4" t="str">
        <f>PROPER(Sheet1!$B632&amp;" "&amp;"Tea Factory")</f>
        <v>Haldola Tea Factory</v>
      </c>
      <c r="F632" s="4" t="str">
        <f>Sheet1!G632</f>
        <v>Ela Ihala</v>
      </c>
      <c r="G632" s="4" t="str">
        <f>Sheet1!J632</f>
        <v>Habarakada,Thawalama.</v>
      </c>
      <c r="H632" s="5" t="str">
        <f t="shared" si="2"/>
        <v xml:space="preserve"> View Map </v>
      </c>
    </row>
    <row r="633" spans="2:8" x14ac:dyDescent="0.2">
      <c r="B633" s="4" t="str">
        <f>PROPER(Sheet1!$B633&amp;" "&amp;"Tea Factory")</f>
        <v>Wathurawila Tea Factory</v>
      </c>
      <c r="F633" s="4" t="str">
        <f>Sheet1!G633</f>
        <v>Kahaduwa</v>
      </c>
      <c r="G633" s="4" t="str">
        <f>Sheet1!J633</f>
        <v>Wathurawila, Kahaduwa</v>
      </c>
      <c r="H633" s="5" t="str">
        <f t="shared" si="2"/>
        <v xml:space="preserve"> View Map </v>
      </c>
    </row>
    <row r="634" spans="2:8" x14ac:dyDescent="0.2">
      <c r="B634" s="4" t="str">
        <f>PROPER(Sheet1!$B634&amp;" "&amp;"Tea Factory")</f>
        <v>New Temple View Tea Factory</v>
      </c>
      <c r="F634" s="4" t="str">
        <f>Sheet1!G634</f>
        <v>Panawenna</v>
      </c>
      <c r="G634" s="4" t="str">
        <f>Sheet1!J634</f>
        <v>Halpawala Road,Panawenna Kahawatte</v>
      </c>
      <c r="H634" s="5" t="str">
        <f t="shared" si="2"/>
        <v xml:space="preserve"> View Map </v>
      </c>
    </row>
    <row r="635" spans="2:8" x14ac:dyDescent="0.2">
      <c r="B635" s="4" t="str">
        <f>PROPER(Sheet1!$B635&amp;" "&amp;"Tea Factory")</f>
        <v>Mendis Tea Factory</v>
      </c>
      <c r="F635" s="4" t="str">
        <f>Sheet1!G635</f>
        <v>Thalgasyaya</v>
      </c>
      <c r="G635" s="4" t="str">
        <f>Sheet1!J635</f>
        <v>Talgasyaya, Akmeemana.Galle</v>
      </c>
      <c r="H635" s="5" t="str">
        <f t="shared" si="2"/>
        <v xml:space="preserve"> View Map </v>
      </c>
    </row>
    <row r="636" spans="2:8" x14ac:dyDescent="0.2">
      <c r="B636" s="4" t="str">
        <f>PROPER(Sheet1!$B636&amp;" "&amp;"Tea Factory")</f>
        <v>Ruhunu Tea Factory</v>
      </c>
      <c r="F636" s="4" t="str">
        <f>Sheet1!G636</f>
        <v>Wattehena</v>
      </c>
      <c r="G636" s="4" t="str">
        <f>Sheet1!J636</f>
        <v>WaththahenaPorawagamaElpitiya</v>
      </c>
      <c r="H636" s="5" t="str">
        <f t="shared" si="2"/>
        <v xml:space="preserve"> View Map </v>
      </c>
    </row>
    <row r="637" spans="2:8" x14ac:dyDescent="0.2">
      <c r="B637" s="4" t="str">
        <f>PROPER(Sheet1!$B637&amp;" "&amp;"Tea Factory")</f>
        <v>Naindawa Tea Factory</v>
      </c>
      <c r="F637" s="4" t="str">
        <f>Sheet1!G637</f>
        <v>Beranagoda</v>
      </c>
      <c r="G637" s="4" t="str">
        <f>Sheet1!J637</f>
        <v>Beranagoda, Yakkalamulla.</v>
      </c>
      <c r="H637" s="5" t="str">
        <f t="shared" si="2"/>
        <v xml:space="preserve"> View Map </v>
      </c>
    </row>
    <row r="638" spans="2:8" x14ac:dyDescent="0.2">
      <c r="B638" s="4" t="str">
        <f>PROPER(Sheet1!$B638&amp;" "&amp;"Tea Factory")</f>
        <v>Palindanuwara Tea Factory</v>
      </c>
      <c r="F638" s="4" t="str">
        <f>Sheet1!G638</f>
        <v>Horagoda</v>
      </c>
      <c r="G638" s="4" t="str">
        <f>Sheet1!J638</f>
        <v>HoragodawatteBaduraliya</v>
      </c>
      <c r="H638" s="5" t="str">
        <f t="shared" si="2"/>
        <v xml:space="preserve"> View Map </v>
      </c>
    </row>
    <row r="639" spans="2:8" x14ac:dyDescent="0.2">
      <c r="B639" s="4" t="str">
        <f>PROPER(Sheet1!$B639&amp;" "&amp;"Tea Factory")</f>
        <v>Moraketiya Tea Factory</v>
      </c>
      <c r="F639" s="4">
        <f>Sheet1!G639</f>
        <v>0</v>
      </c>
      <c r="G639" s="4" t="str">
        <f>Sheet1!J639</f>
        <v>Karagoda,Galle.</v>
      </c>
      <c r="H639" s="5" t="str">
        <f t="shared" si="2"/>
        <v xml:space="preserve"> View Map </v>
      </c>
    </row>
    <row r="640" spans="2:8" x14ac:dyDescent="0.2">
      <c r="B640" s="4" t="str">
        <f>PROPER(Sheet1!$B640&amp;" "&amp;"Tea Factory")</f>
        <v>Unity Tea Factory</v>
      </c>
      <c r="F640" s="4" t="str">
        <f>Sheet1!G640</f>
        <v>Panangala</v>
      </c>
      <c r="G640" s="4" t="str">
        <f>Sheet1!J640</f>
        <v>Panangala ,HinidumaGalle</v>
      </c>
      <c r="H640" s="5" t="str">
        <f t="shared" si="2"/>
        <v xml:space="preserve"> View Map </v>
      </c>
    </row>
    <row r="641" spans="2:8" x14ac:dyDescent="0.2">
      <c r="B641" s="4" t="str">
        <f>PROPER(Sheet1!$B641&amp;" "&amp;"Tea Factory")</f>
        <v>Danawala Tea Factory</v>
      </c>
      <c r="F641" s="4" t="str">
        <f>Sheet1!G641</f>
        <v>Danawala</v>
      </c>
      <c r="G641" s="4" t="str">
        <f>Sheet1!J641</f>
        <v>Pelawatta RoadNeluwa.</v>
      </c>
      <c r="H641" s="5" t="str">
        <f t="shared" si="2"/>
        <v xml:space="preserve"> View Map </v>
      </c>
    </row>
    <row r="642" spans="2:8" x14ac:dyDescent="0.2">
      <c r="B642" s="4" t="str">
        <f>PROPER(Sheet1!$B642&amp;" "&amp;"Tea Factory")</f>
        <v>Subhagya Tea Factory</v>
      </c>
      <c r="F642" s="4">
        <f>Sheet1!G642</f>
        <v>0</v>
      </c>
      <c r="G642" s="4" t="str">
        <f>Sheet1!J642</f>
        <v>HappitiyaNeluwa</v>
      </c>
      <c r="H642" s="5" t="str">
        <f t="shared" si="2"/>
        <v xml:space="preserve"> View Map </v>
      </c>
    </row>
    <row r="643" spans="2:8" x14ac:dyDescent="0.2">
      <c r="B643" s="4" t="str">
        <f>PROPER(Sheet1!$B643&amp;" "&amp;"Tea Factory")</f>
        <v>Ellagawa Tea Factory</v>
      </c>
      <c r="F643" s="4" t="str">
        <f>Sheet1!G643</f>
        <v>Magedara</v>
      </c>
      <c r="G643" s="4" t="str">
        <f>Sheet1!J643</f>
        <v>Ellaihala,Magedara,Galle</v>
      </c>
      <c r="H643" s="5" t="str">
        <f t="shared" si="2"/>
        <v xml:space="preserve"> View Map </v>
      </c>
    </row>
    <row r="644" spans="2:8" x14ac:dyDescent="0.2">
      <c r="B644" s="4" t="str">
        <f>PROPER(Sheet1!$B644&amp;" "&amp;"Tea Factory")</f>
        <v>Vonvil Tea Factory</v>
      </c>
      <c r="F644" s="4" t="str">
        <f>Sheet1!G644</f>
        <v>Godaamuna</v>
      </c>
      <c r="G644" s="4" t="str">
        <f>Sheet1!J644</f>
        <v>GodaamunaPitigala</v>
      </c>
      <c r="H644" s="5" t="str">
        <f t="shared" si="2"/>
        <v xml:space="preserve"> View Map </v>
      </c>
    </row>
    <row r="645" spans="2:8" x14ac:dyDescent="0.2">
      <c r="B645" s="4" t="str">
        <f>PROPER(Sheet1!$B645&amp;" "&amp;"Tea Factory")</f>
        <v>Maitland Tea Factory</v>
      </c>
      <c r="F645" s="4" t="str">
        <f>Sheet1!G645</f>
        <v>Lindula</v>
      </c>
      <c r="G645" s="4" t="str">
        <f>Sheet1!J645</f>
        <v>Malton EstateLindula</v>
      </c>
      <c r="H645" s="5" t="str">
        <f t="shared" si="2"/>
        <v xml:space="preserve"> View Map </v>
      </c>
    </row>
    <row r="646" spans="2:8" x14ac:dyDescent="0.2">
      <c r="B646" s="4" t="str">
        <f>PROPER(Sheet1!$B646&amp;" "&amp;"Tea Factory")</f>
        <v>Gangasiri  Tea Factory</v>
      </c>
      <c r="F646" s="4" t="str">
        <f>Sheet1!G646</f>
        <v>Weerapana</v>
      </c>
      <c r="G646" s="4" t="str">
        <f>Sheet1!J646</f>
        <v>Weerapana,Opatha.MorawakaMatara</v>
      </c>
      <c r="H646" s="5" t="str">
        <f t="shared" si="2"/>
        <v xml:space="preserve"> View Map </v>
      </c>
    </row>
    <row r="647" spans="2:8" x14ac:dyDescent="0.2">
      <c r="B647" s="4" t="str">
        <f>PROPER(Sheet1!$B647&amp;" "&amp;"Tea Factory")</f>
        <v>Sannasgama Tea Factory</v>
      </c>
      <c r="F647" s="4" t="str">
        <f>Sheet1!G647</f>
        <v>Sannasgama</v>
      </c>
      <c r="G647" s="4" t="str">
        <f>Sheet1!J647</f>
        <v>Sannasgama,Lellopitiya.Ratnapura</v>
      </c>
      <c r="H647" s="5" t="str">
        <f t="shared" si="2"/>
        <v xml:space="preserve"> View Map </v>
      </c>
    </row>
    <row r="648" spans="2:8" x14ac:dyDescent="0.2">
      <c r="B648" s="4" t="str">
        <f>PROPER(Sheet1!$B648&amp;" "&amp;"Tea Factory")</f>
        <v>Handunugoda Tea Factory</v>
      </c>
      <c r="F648" s="4" t="str">
        <f>Sheet1!G648</f>
        <v>Tittagalle</v>
      </c>
      <c r="G648" s="4" t="str">
        <f>Sheet1!J648</f>
        <v>Titthagalla,Ahangama.</v>
      </c>
      <c r="H648" s="5" t="str">
        <f t="shared" si="2"/>
        <v xml:space="preserve"> View Map </v>
      </c>
    </row>
    <row r="649" spans="2:8" x14ac:dyDescent="0.2">
      <c r="B649" s="4" t="str">
        <f>PROPER(Sheet1!$B649&amp;" "&amp;"Tea Factory")</f>
        <v>Nawa Diyagala Tea Factory</v>
      </c>
      <c r="F649" s="4" t="str">
        <f>Sheet1!G649</f>
        <v>Deniyaya</v>
      </c>
      <c r="G649" s="4" t="str">
        <f>Sheet1!J649</f>
        <v>Deniyaya</v>
      </c>
      <c r="H649" s="5" t="str">
        <f t="shared" si="2"/>
        <v xml:space="preserve"> View Map </v>
      </c>
    </row>
    <row r="650" spans="2:8" x14ac:dyDescent="0.2">
      <c r="B650" s="4" t="str">
        <f>PROPER(Sheet1!$B650&amp;" "&amp;"Tea Factory")</f>
        <v>Nahinigala Tea Factory</v>
      </c>
      <c r="F650" s="4" t="str">
        <f>Sheet1!G650</f>
        <v>Kataburawa</v>
      </c>
      <c r="G650" s="4" t="str">
        <f>Sheet1!J650</f>
        <v>Nehinigala,Wanduramba,Galle.</v>
      </c>
      <c r="H650" s="5" t="str">
        <f t="shared" si="2"/>
        <v xml:space="preserve"> View Map </v>
      </c>
    </row>
    <row r="651" spans="2:8" x14ac:dyDescent="0.2">
      <c r="B651" s="4" t="str">
        <f>PROPER(Sheet1!$B651&amp;" "&amp;"Tea Factory")</f>
        <v>Dedugala Tea Factory</v>
      </c>
      <c r="F651" s="4" t="str">
        <f>Sheet1!G651</f>
        <v>Thawalama</v>
      </c>
      <c r="G651" s="4" t="str">
        <f>Sheet1!J651</f>
        <v>Tawalama,Galle.</v>
      </c>
      <c r="H651" s="5" t="str">
        <f t="shared" si="2"/>
        <v xml:space="preserve"> View Map </v>
      </c>
    </row>
    <row r="652" spans="2:8" x14ac:dyDescent="0.2">
      <c r="B652" s="4" t="str">
        <f>PROPER(Sheet1!$B652&amp;" "&amp;"Tea Factory")</f>
        <v>Mihidum Valley Tea Factory</v>
      </c>
      <c r="F652" s="4" t="str">
        <f>Sheet1!G652</f>
        <v>Banangala</v>
      </c>
      <c r="G652" s="4" t="str">
        <f>Sheet1!J652</f>
        <v>310, Agalawatte RoadMathugama</v>
      </c>
      <c r="H652" s="5" t="str">
        <f t="shared" si="2"/>
        <v xml:space="preserve"> View Map </v>
      </c>
    </row>
    <row r="653" spans="2:8" x14ac:dyDescent="0.2">
      <c r="B653" s="4" t="str">
        <f>PROPER(Sheet1!$B653&amp;" "&amp;"Tea Factory")</f>
        <v>A.C.U. Tea Factory</v>
      </c>
      <c r="F653" s="4" t="str">
        <f>Sheet1!G653</f>
        <v>Atakalampanna</v>
      </c>
      <c r="G653" s="4" t="str">
        <f>Sheet1!J653</f>
        <v>Madampe, Atakalampanna.</v>
      </c>
      <c r="H653" s="5" t="str">
        <f t="shared" si="2"/>
        <v xml:space="preserve"> View Map </v>
      </c>
    </row>
    <row r="654" spans="2:8" x14ac:dyDescent="0.2">
      <c r="B654" s="4" t="str">
        <f>PROPER(Sheet1!$B654&amp;" "&amp;"Tea Factory")</f>
        <v>Fairfield Tea Factory</v>
      </c>
      <c r="F654" s="4" t="str">
        <f>Sheet1!G654</f>
        <v>Wariyagala</v>
      </c>
      <c r="G654" s="4" t="str">
        <f>Sheet1!J654</f>
        <v>WariyagalaNillamba</v>
      </c>
      <c r="H654" s="5" t="str">
        <f t="shared" si="2"/>
        <v xml:space="preserve"> View Map </v>
      </c>
    </row>
    <row r="655" spans="2:8" x14ac:dyDescent="0.2">
      <c r="B655" s="4" t="str">
        <f>PROPER(Sheet1!$B655&amp;" "&amp;"Tea Factory")</f>
        <v>Karagoda Tea Factory</v>
      </c>
      <c r="F655" s="4" t="str">
        <f>Sheet1!G655</f>
        <v>Karagoda</v>
      </c>
      <c r="G655" s="4" t="str">
        <f>Sheet1!J655</f>
        <v>Moraketiya RoadKaragoda,Galle.</v>
      </c>
      <c r="H655" s="5" t="str">
        <f t="shared" si="2"/>
        <v xml:space="preserve"> View Map </v>
      </c>
    </row>
    <row r="656" spans="2:8" x14ac:dyDescent="0.2">
      <c r="B656" s="4" t="str">
        <f>PROPER(Sheet1!$B656&amp;" "&amp;"Tea Factory")</f>
        <v>Watawala Tea Factory</v>
      </c>
      <c r="F656" s="4" t="str">
        <f>Sheet1!G656</f>
        <v>Watawala</v>
      </c>
      <c r="G656" s="4">
        <f>Sheet1!J656</f>
        <v>0</v>
      </c>
      <c r="H656" s="5" t="str">
        <f t="shared" si="2"/>
        <v xml:space="preserve"> View Map </v>
      </c>
    </row>
    <row r="657" spans="2:8" x14ac:dyDescent="0.2">
      <c r="B657" s="4" t="str">
        <f>PROPER(Sheet1!$B657&amp;" "&amp;"Tea Factory")</f>
        <v>Haliwala Tea Factory</v>
      </c>
      <c r="F657" s="4" t="str">
        <f>Sheet1!G657</f>
        <v>Haliwala</v>
      </c>
      <c r="G657" s="4" t="str">
        <f>Sheet1!J657</f>
        <v>Bataduwa, Galle.</v>
      </c>
      <c r="H657" s="5" t="str">
        <f t="shared" si="2"/>
        <v xml:space="preserve"> View Map </v>
      </c>
    </row>
    <row r="658" spans="2:8" x14ac:dyDescent="0.2">
      <c r="B658" s="4" t="str">
        <f>PROPER(Sheet1!$B658&amp;" "&amp;"Tea Factory")</f>
        <v>Hidellana Tea Factory</v>
      </c>
      <c r="F658" s="4" t="str">
        <f>Sheet1!G658</f>
        <v>Malangama</v>
      </c>
      <c r="G658" s="4" t="str">
        <f>Sheet1!J658</f>
        <v>Hidellana,Ratnapura.</v>
      </c>
      <c r="H658" s="5" t="str">
        <f t="shared" si="2"/>
        <v xml:space="preserve"> View Map </v>
      </c>
    </row>
    <row r="659" spans="2:8" x14ac:dyDescent="0.2">
      <c r="B659" s="4" t="str">
        <f>PROPER(Sheet1!$B659&amp;" "&amp;"Tea Factory")</f>
        <v>New Udumullagoda Tea Factory</v>
      </c>
      <c r="F659" s="4" t="str">
        <f>Sheet1!G659</f>
        <v>Makumbura</v>
      </c>
      <c r="G659" s="4" t="str">
        <f>Sheet1!J659</f>
        <v>Makumbura,KottawagamaGalle</v>
      </c>
      <c r="H659" s="5" t="str">
        <f t="shared" si="2"/>
        <v xml:space="preserve"> View Map </v>
      </c>
    </row>
    <row r="660" spans="2:8" x14ac:dyDescent="0.2">
      <c r="B660" s="4" t="str">
        <f>PROPER(Sheet1!$B660&amp;" "&amp;"Tea Factory")</f>
        <v>Batalanda Tea Factory</v>
      </c>
      <c r="F660" s="4" t="str">
        <f>Sheet1!G660</f>
        <v>Malawa</v>
      </c>
      <c r="G660" s="4" t="str">
        <f>Sheet1!J660</f>
        <v>Malawa, Kuruwita</v>
      </c>
      <c r="H660" s="5" t="str">
        <f t="shared" si="2"/>
        <v xml:space="preserve"> View Map </v>
      </c>
    </row>
    <row r="661" spans="2:8" x14ac:dyDescent="0.2">
      <c r="B661" s="4" t="str">
        <f>PROPER(Sheet1!$B661&amp;" "&amp;"Tea Factory")</f>
        <v>Dangahahena Tea Factory</v>
      </c>
      <c r="F661" s="4" t="str">
        <f>Sheet1!G661</f>
        <v>Panagoda</v>
      </c>
      <c r="G661" s="4" t="str">
        <f>Sheet1!J661</f>
        <v>Pannimulla,Panagoda.</v>
      </c>
      <c r="H661" s="5" t="str">
        <f t="shared" si="2"/>
        <v xml:space="preserve"> View Map </v>
      </c>
    </row>
    <row r="662" spans="2:8" x14ac:dyDescent="0.2">
      <c r="B662" s="4" t="str">
        <f>PROPER(Sheet1!$B662&amp;" "&amp;"Tea Factory")</f>
        <v>Himara Tea Factory</v>
      </c>
      <c r="F662" s="4">
        <f>Sheet1!G662</f>
        <v>0</v>
      </c>
      <c r="G662" s="4" t="str">
        <f>Sheet1!J662</f>
        <v>Ambalegedara NorthNeluwa</v>
      </c>
      <c r="H662" s="5" t="str">
        <f t="shared" si="2"/>
        <v xml:space="preserve"> View Map </v>
      </c>
    </row>
    <row r="663" spans="2:8" x14ac:dyDescent="0.2">
      <c r="B663" s="4" t="str">
        <f>PROPER(Sheet1!$B663&amp;" "&amp;"Tea Factory")</f>
        <v>New Ferndel Tea Factory</v>
      </c>
      <c r="F663" s="4" t="str">
        <f>Sheet1!G663</f>
        <v>Galabada</v>
      </c>
      <c r="G663" s="4" t="str">
        <f>Sheet1!J663</f>
        <v>Galaboda,Gallella,Rathnapura.</v>
      </c>
      <c r="H663" s="5" t="str">
        <f t="shared" si="2"/>
        <v xml:space="preserve"> View Map </v>
      </c>
    </row>
    <row r="664" spans="2:8" x14ac:dyDescent="0.2">
      <c r="B664" s="4" t="str">
        <f>PROPER(Sheet1!$B664&amp;" "&amp;"Tea Factory")</f>
        <v>Athukorala  Tea Factory</v>
      </c>
      <c r="F664" s="4" t="str">
        <f>Sheet1!G664</f>
        <v>Pitigala</v>
      </c>
      <c r="G664" s="4" t="str">
        <f>Sheet1!J664</f>
        <v>Kuruduwatta NO 1Pitigala.Mathugama</v>
      </c>
      <c r="H664" s="5" t="str">
        <f t="shared" si="2"/>
        <v xml:space="preserve"> View Map </v>
      </c>
    </row>
    <row r="665" spans="2:8" x14ac:dyDescent="0.2">
      <c r="B665" s="4" t="str">
        <f>PROPER(Sheet1!$B665&amp;" "&amp;"Tea Factory")</f>
        <v>Nil Gahahena Tea Factory</v>
      </c>
      <c r="F665" s="4" t="str">
        <f>Sheet1!G665</f>
        <v>Yattapatha</v>
      </c>
      <c r="G665" s="4" t="str">
        <f>Sheet1!J665</f>
        <v xml:space="preserve">Sinharaja GardenYattapatha </v>
      </c>
      <c r="H665" s="5" t="str">
        <f t="shared" si="2"/>
        <v xml:space="preserve"> View Map </v>
      </c>
    </row>
    <row r="666" spans="2:8" x14ac:dyDescent="0.2">
      <c r="B666" s="4" t="str">
        <f>PROPER(Sheet1!$B666&amp;" "&amp;"Tea Factory")</f>
        <v>Miriswatta Tea Factory</v>
      </c>
      <c r="F666" s="4" t="str">
        <f>Sheet1!G666</f>
        <v>Eramulla</v>
      </c>
      <c r="G666" s="4" t="str">
        <f>Sheet1!J666</f>
        <v>Eramulla EstateKahaduwa.</v>
      </c>
      <c r="H666" s="5" t="str">
        <f t="shared" si="2"/>
        <v xml:space="preserve"> View Map </v>
      </c>
    </row>
    <row r="667" spans="2:8" x14ac:dyDescent="0.2">
      <c r="B667" s="4" t="str">
        <f>PROPER(Sheet1!$B667&amp;" "&amp;"Tea Factory")</f>
        <v>Janahitha Tea Factory</v>
      </c>
      <c r="F667" s="4" t="str">
        <f>Sheet1!G667</f>
        <v>Kottawagama</v>
      </c>
      <c r="G667" s="4" t="str">
        <f>Sheet1!J667</f>
        <v>Kottawagama, Galle.</v>
      </c>
      <c r="H667" s="5" t="str">
        <f t="shared" si="2"/>
        <v xml:space="preserve"> View Map </v>
      </c>
    </row>
    <row r="668" spans="2:8" x14ac:dyDescent="0.2">
      <c r="B668" s="4" t="str">
        <f>PROPER(Sheet1!$B668&amp;" "&amp;"Tea Factory")</f>
        <v>New South-Co-Op Tea Factory</v>
      </c>
      <c r="F668" s="4" t="str">
        <f>Sheet1!G668</f>
        <v>Bangama</v>
      </c>
      <c r="G668" s="4" t="str">
        <f>Sheet1!J668</f>
        <v>HenegamaAkuressa</v>
      </c>
      <c r="H668" s="5" t="str">
        <f t="shared" si="2"/>
        <v xml:space="preserve"> View Map </v>
      </c>
    </row>
    <row r="669" spans="2:8" x14ac:dyDescent="0.2">
      <c r="B669" s="4" t="str">
        <f>PROPER(Sheet1!$B669&amp;" "&amp;"Tea Factory")</f>
        <v>Chandra Eliya Tea Factory</v>
      </c>
      <c r="F669" s="4" t="str">
        <f>Sheet1!G669</f>
        <v>Deniyaya</v>
      </c>
      <c r="G669" s="4" t="str">
        <f>Sheet1!J669</f>
        <v>Deniyaya.KotapolaMatara</v>
      </c>
      <c r="H669" s="5" t="str">
        <f t="shared" si="2"/>
        <v xml:space="preserve"> View Map </v>
      </c>
    </row>
    <row r="670" spans="2:8" x14ac:dyDescent="0.2">
      <c r="B670" s="4" t="str">
        <f>PROPER(Sheet1!$B670&amp;" "&amp;"Tea Factory")</f>
        <v>Thotupalawatta  Tea Factory</v>
      </c>
      <c r="F670" s="4" t="str">
        <f>Sheet1!G670</f>
        <v>Keebiela</v>
      </c>
      <c r="G670" s="4" t="str">
        <f>Sheet1!J670</f>
        <v>Kotagoda Estate,Godewatte,Keebiela,Baddegama.</v>
      </c>
      <c r="H670" s="5" t="str">
        <f t="shared" si="2"/>
        <v xml:space="preserve"> View Map </v>
      </c>
    </row>
    <row r="671" spans="2:8" x14ac:dyDescent="0.2">
      <c r="B671" s="4" t="str">
        <f>PROPER(Sheet1!$B671&amp;" "&amp;"Tea Factory")</f>
        <v>Remonta Tea Factory</v>
      </c>
      <c r="F671" s="4" t="str">
        <f>Sheet1!G671</f>
        <v>Meepawala</v>
      </c>
      <c r="G671" s="4" t="str">
        <f>Sheet1!J671</f>
        <v>Meepawala,Poddala,Galle.</v>
      </c>
      <c r="H671" s="5" t="str">
        <f t="shared" si="2"/>
        <v xml:space="preserve"> View Map </v>
      </c>
    </row>
    <row r="672" spans="2:8" x14ac:dyDescent="0.2">
      <c r="B672" s="4" t="str">
        <f>PROPER(Sheet1!$B672&amp;" "&amp;"Tea Factory")</f>
        <v>Green Lanka Tea Factory</v>
      </c>
      <c r="F672" s="4" t="str">
        <f>Sheet1!G672</f>
        <v>Ginnaliya</v>
      </c>
      <c r="G672" s="4" t="str">
        <f>Sheet1!J672</f>
        <v>Ginnaliya EastPasgoda, DeniyayaMatara.</v>
      </c>
      <c r="H672" s="5" t="str">
        <f t="shared" si="2"/>
        <v xml:space="preserve"> View Map </v>
      </c>
    </row>
    <row r="673" spans="2:8" x14ac:dyDescent="0.2">
      <c r="B673" s="4" t="str">
        <f>PROPER(Sheet1!$B673&amp;" "&amp;"Tea Factory")</f>
        <v>Bogoda Tea Factory</v>
      </c>
      <c r="F673" s="4" t="str">
        <f>Sheet1!G673</f>
        <v>Pallegama</v>
      </c>
      <c r="G673" s="4" t="str">
        <f>Sheet1!J673</f>
        <v>Bogoda Group Kolawenigama,Deniyaya.</v>
      </c>
      <c r="H673" s="5" t="str">
        <f t="shared" si="2"/>
        <v xml:space="preserve"> View Map </v>
      </c>
    </row>
    <row r="674" spans="2:8" x14ac:dyDescent="0.2">
      <c r="B674" s="4" t="str">
        <f>PROPER(Sheet1!$B674&amp;" "&amp;"Tea Factory")</f>
        <v>Bogahahena Tea Factory</v>
      </c>
      <c r="F674" s="4" t="str">
        <f>Sheet1!G674</f>
        <v>Bamunugama</v>
      </c>
      <c r="G674" s="4" t="str">
        <f>Sheet1!J674</f>
        <v>Bogahahena,Horapavita.</v>
      </c>
      <c r="H674" s="5" t="str">
        <f t="shared" si="2"/>
        <v xml:space="preserve"> View Map </v>
      </c>
    </row>
    <row r="675" spans="2:8" x14ac:dyDescent="0.2">
      <c r="B675" s="4" t="str">
        <f>PROPER(Sheet1!$B675&amp;" "&amp;"Tea Factory")</f>
        <v>Randeniya Tea Factory</v>
      </c>
      <c r="F675" s="4" t="str">
        <f>Sheet1!G675</f>
        <v>Kombala</v>
      </c>
      <c r="G675" s="4" t="str">
        <f>Sheet1!J675</f>
        <v>Kombala Road,Imaduwa.Galle.</v>
      </c>
      <c r="H675" s="5" t="str">
        <f t="shared" si="2"/>
        <v xml:space="preserve"> View Map </v>
      </c>
    </row>
    <row r="676" spans="2:8" x14ac:dyDescent="0.2">
      <c r="B676" s="4" t="str">
        <f>PROPER(Sheet1!$B676&amp;" "&amp;"Tea Factory")</f>
        <v>Gunawardana Tea Factory</v>
      </c>
      <c r="F676" s="4" t="str">
        <f>Sheet1!G676</f>
        <v>Thalahagama</v>
      </c>
      <c r="G676" s="4" t="str">
        <f>Sheet1!J676</f>
        <v>Thalahagama WestPorathota,Akuressa.</v>
      </c>
      <c r="H676" s="5" t="str">
        <f t="shared" si="2"/>
        <v xml:space="preserve"> View Map </v>
      </c>
    </row>
    <row r="677" spans="2:8" x14ac:dyDescent="0.2">
      <c r="B677" s="4" t="str">
        <f>PROPER(Sheet1!$B677&amp;" "&amp;"Tea Factory")</f>
        <v>Susantha Tea Factory</v>
      </c>
      <c r="F677" s="4" t="str">
        <f>Sheet1!G677</f>
        <v>Babarawana</v>
      </c>
      <c r="G677" s="4" t="str">
        <f>Sheet1!J677</f>
        <v>Bambarawana, Mattaka.Galle</v>
      </c>
      <c r="H677" s="5" t="str">
        <f t="shared" si="2"/>
        <v xml:space="preserve"> View Map </v>
      </c>
    </row>
    <row r="678" spans="2:8" x14ac:dyDescent="0.2">
      <c r="B678" s="4" t="str">
        <f>PROPER(Sheet1!$B678&amp;" "&amp;"Tea Factory")</f>
        <v>Lucky Dais Tea Factory</v>
      </c>
      <c r="F678" s="4" t="str">
        <f>Sheet1!G678</f>
        <v>Beralapanathara</v>
      </c>
      <c r="G678" s="4" t="str">
        <f>Sheet1!J678</f>
        <v>Kobomella,Beralapanatara.</v>
      </c>
      <c r="H678" s="5" t="str">
        <f t="shared" si="2"/>
        <v xml:space="preserve"> View Map </v>
      </c>
    </row>
    <row r="679" spans="2:8" x14ac:dyDescent="0.2">
      <c r="B679" s="4" t="str">
        <f>PROPER(Sheet1!$B679&amp;" "&amp;"Tea Factory")</f>
        <v>Mount Eliza  Tea Factory</v>
      </c>
      <c r="F679" s="4">
        <f>Sheet1!G679</f>
        <v>0</v>
      </c>
      <c r="G679" s="4" t="str">
        <f>Sheet1!J679</f>
        <v>Alawatte spoMatale</v>
      </c>
      <c r="H679" s="5" t="str">
        <f t="shared" si="2"/>
        <v xml:space="preserve"> View Map </v>
      </c>
    </row>
    <row r="680" spans="2:8" x14ac:dyDescent="0.2">
      <c r="B680" s="4" t="str">
        <f>PROPER(Sheet1!$B680&amp;" "&amp;"Tea Factory")</f>
        <v>Derangala Hills Tea Factory</v>
      </c>
      <c r="F680" s="4" t="str">
        <f>Sheet1!G680</f>
        <v>Ethu-Ela</v>
      </c>
      <c r="G680" s="4" t="str">
        <f>Sheet1!J680</f>
        <v>Atu-Ela,  Morawaka.</v>
      </c>
      <c r="H680" s="5" t="str">
        <f t="shared" si="2"/>
        <v xml:space="preserve"> View Map </v>
      </c>
    </row>
    <row r="681" spans="2:8" x14ac:dyDescent="0.2">
      <c r="B681" s="4" t="str">
        <f>PROPER(Sheet1!$B681&amp;" "&amp;"Tea Factory")</f>
        <v>Ceyenta  Tea Factory</v>
      </c>
      <c r="F681" s="4" t="str">
        <f>Sheet1!G681</f>
        <v>Kotapola</v>
      </c>
      <c r="G681" s="4" t="str">
        <f>Sheet1!J681</f>
        <v>Kosmodara,Kotapola.</v>
      </c>
      <c r="H681" s="5" t="str">
        <f t="shared" si="2"/>
        <v xml:space="preserve"> View Map </v>
      </c>
    </row>
    <row r="682" spans="2:8" x14ac:dyDescent="0.2">
      <c r="B682" s="4" t="str">
        <f>PROPER(Sheet1!$B682&amp;" "&amp;"Tea Factory")</f>
        <v>Koppakande Tea Factory</v>
      </c>
      <c r="F682" s="4" t="str">
        <f>Sheet1!G682</f>
        <v>Koppakanda</v>
      </c>
      <c r="G682" s="4" t="str">
        <f>Sheet1!J682</f>
        <v>Koppakande, Omalpe.</v>
      </c>
      <c r="H682" s="5" t="str">
        <f t="shared" si="2"/>
        <v xml:space="preserve"> View Map </v>
      </c>
    </row>
    <row r="683" spans="2:8" x14ac:dyDescent="0.2">
      <c r="B683" s="4" t="str">
        <f>PROPER(Sheet1!$B683&amp;" "&amp;"Tea Factory")</f>
        <v>Coopwin  Tea Factory</v>
      </c>
      <c r="F683" s="4" t="str">
        <f>Sheet1!G683</f>
        <v>Gorakawela</v>
      </c>
      <c r="G683" s="4" t="str">
        <f>Sheet1!J683</f>
        <v>Deniyaya Road,Akuressa.</v>
      </c>
      <c r="H683" s="5" t="str">
        <f t="shared" si="2"/>
        <v xml:space="preserve"> View Map </v>
      </c>
    </row>
    <row r="684" spans="2:8" x14ac:dyDescent="0.2">
      <c r="B684" s="4" t="str">
        <f>PROPER(Sheet1!$B684&amp;" "&amp;"Tea Factory")</f>
        <v>Doralawitiyahena Tea Factory</v>
      </c>
      <c r="F684" s="4" t="str">
        <f>Sheet1!G684</f>
        <v>Batalanda</v>
      </c>
      <c r="G684" s="4" t="str">
        <f>Sheet1!J684</f>
        <v>No 202Batalanda,Pelmadulla.</v>
      </c>
      <c r="H684" s="5" t="str">
        <f t="shared" si="2"/>
        <v xml:space="preserve"> View Map </v>
      </c>
    </row>
    <row r="685" spans="2:8" x14ac:dyDescent="0.2">
      <c r="B685" s="4" t="str">
        <f>PROPER(Sheet1!$B685&amp;" "&amp;"Tea Factory")</f>
        <v>P M U Tea Factory</v>
      </c>
      <c r="F685" s="4" t="str">
        <f>Sheet1!G685</f>
        <v>Atakalanpanna</v>
      </c>
      <c r="G685" s="4" t="str">
        <f>Sheet1!J685</f>
        <v>KawduwawaGodakawelaRatnapura</v>
      </c>
      <c r="H685" s="5" t="str">
        <f t="shared" si="2"/>
        <v xml:space="preserve"> View Map </v>
      </c>
    </row>
    <row r="686" spans="2:8" x14ac:dyDescent="0.2">
      <c r="B686" s="4" t="str">
        <f>PROPER(Sheet1!$B686&amp;" "&amp;"Tea Factory")</f>
        <v>Lucky Kottawa  Tea Factory</v>
      </c>
      <c r="F686" s="4" t="str">
        <f>Sheet1!G686</f>
        <v>Thalgampola</v>
      </c>
      <c r="G686" s="4" t="str">
        <f>Sheet1!J686</f>
        <v>Galgodella Road,Thalgampola.</v>
      </c>
      <c r="H686" s="5" t="str">
        <f t="shared" si="2"/>
        <v xml:space="preserve"> View Map </v>
      </c>
    </row>
    <row r="687" spans="2:8" x14ac:dyDescent="0.2">
      <c r="B687" s="4" t="str">
        <f>PROPER(Sheet1!$B687&amp;" "&amp;"Tea Factory")</f>
        <v>Lakmali Tea Factory</v>
      </c>
      <c r="F687" s="4" t="str">
        <f>Sheet1!G687</f>
        <v>Mapalagama</v>
      </c>
      <c r="G687" s="4" t="str">
        <f>Sheet1!J687</f>
        <v>Sobitha Mawatha,Mapalagama (Central)</v>
      </c>
      <c r="H687" s="5" t="str">
        <f t="shared" si="2"/>
        <v xml:space="preserve"> View Map </v>
      </c>
    </row>
    <row r="688" spans="2:8" x14ac:dyDescent="0.2">
      <c r="B688" s="4" t="str">
        <f>PROPER(Sheet1!$B688&amp;" "&amp;"Tea Factory")</f>
        <v>Ivyhills Tea Factory</v>
      </c>
      <c r="F688" s="4">
        <f>Sheet1!G688</f>
        <v>0</v>
      </c>
      <c r="G688" s="4" t="str">
        <f>Sheet1!J688</f>
        <v>Udalamatta-via Galle</v>
      </c>
      <c r="H688" s="5" t="str">
        <f t="shared" si="2"/>
        <v xml:space="preserve"> View Map </v>
      </c>
    </row>
    <row r="689" spans="2:8" x14ac:dyDescent="0.2">
      <c r="B689" s="4" t="str">
        <f>PROPER(Sheet1!$B689&amp;" "&amp;"Tea Factory")</f>
        <v>Co-Op Lanka Tea Factory</v>
      </c>
      <c r="F689" s="4" t="str">
        <f>Sheet1!G689</f>
        <v>Waralla</v>
      </c>
      <c r="G689" s="4" t="str">
        <f>Sheet1!J689</f>
        <v>Kotapola M.P.C.S. Ltd.Deniyaya Road,Waralla</v>
      </c>
      <c r="H689" s="5" t="str">
        <f t="shared" si="2"/>
        <v xml:space="preserve"> View Map </v>
      </c>
    </row>
    <row r="690" spans="2:8" x14ac:dyDescent="0.2">
      <c r="B690" s="4" t="str">
        <f>PROPER(Sheet1!$B690&amp;" "&amp;"Tea Factory")</f>
        <v>Kanthisiri Tea Factory</v>
      </c>
      <c r="F690" s="4" t="str">
        <f>Sheet1!G690</f>
        <v>Ambekumbura</v>
      </c>
      <c r="G690" s="4" t="str">
        <f>Sheet1!J690</f>
        <v>Dikkumbura,Ahangama.</v>
      </c>
      <c r="H690" s="5" t="str">
        <f t="shared" si="2"/>
        <v xml:space="preserve"> View Map </v>
      </c>
    </row>
    <row r="691" spans="2:8" x14ac:dyDescent="0.2">
      <c r="B691" s="4" t="str">
        <f>PROPER(Sheet1!$B691&amp;" "&amp;"Tea Factory")</f>
        <v>Lucky Pinnaduwa Tea Factory</v>
      </c>
      <c r="F691" s="4" t="str">
        <f>Sheet1!G691</f>
        <v>Ihalagoda</v>
      </c>
      <c r="G691" s="4" t="str">
        <f>Sheet1!J691</f>
        <v>WalahanduwaGalle</v>
      </c>
      <c r="H691" s="5" t="str">
        <f t="shared" si="2"/>
        <v xml:space="preserve"> View Map </v>
      </c>
    </row>
    <row r="692" spans="2:8" x14ac:dyDescent="0.2">
      <c r="B692" s="4" t="str">
        <f>PROPER(Sheet1!$B692&amp;" "&amp;"Tea Factory")</f>
        <v>Paragalla  Tea Factory</v>
      </c>
      <c r="F692" s="4">
        <f>Sheet1!G692</f>
        <v>0</v>
      </c>
      <c r="G692" s="4" t="str">
        <f>Sheet1!J692</f>
        <v>ParagallaUdathenna</v>
      </c>
      <c r="H692" s="5" t="str">
        <f t="shared" si="2"/>
        <v xml:space="preserve"> View Map </v>
      </c>
    </row>
    <row r="693" spans="2:8" x14ac:dyDescent="0.2">
      <c r="B693" s="4" t="str">
        <f>PROPER(Sheet1!$B693&amp;" "&amp;"Tea Factory")</f>
        <v>Menikkanda Tea Factory</v>
      </c>
      <c r="F693" s="4" t="str">
        <f>Sheet1!G693</f>
        <v>Hiyare</v>
      </c>
      <c r="G693" s="4" t="str">
        <f>Sheet1!J693</f>
        <v>Hiyare East, Hiyare,Galle.</v>
      </c>
      <c r="H693" s="5" t="str">
        <f t="shared" si="2"/>
        <v xml:space="preserve"> View Map </v>
      </c>
    </row>
    <row r="694" spans="2:8" x14ac:dyDescent="0.2">
      <c r="B694" s="4" t="str">
        <f>PROPER(Sheet1!$B694&amp;" "&amp;"Tea Factory")</f>
        <v>Fortune Tea Factory</v>
      </c>
      <c r="F694" s="4" t="str">
        <f>Sheet1!G694</f>
        <v>Urubokka</v>
      </c>
      <c r="G694" s="4" t="str">
        <f>Sheet1!J694</f>
        <v>Keeripitiya Road,Urubokka.</v>
      </c>
      <c r="H694" s="5" t="str">
        <f t="shared" si="2"/>
        <v xml:space="preserve"> View Map </v>
      </c>
    </row>
    <row r="695" spans="2:8" x14ac:dyDescent="0.2">
      <c r="B695" s="4" t="str">
        <f>PROPER(Sheet1!$B695&amp;" "&amp;"Tea Factory")</f>
        <v>Gamagoda Tea Factory</v>
      </c>
      <c r="F695" s="4" t="str">
        <f>Sheet1!G695</f>
        <v>Gamagoda</v>
      </c>
      <c r="G695" s="4" t="str">
        <f>Sheet1!J695</f>
        <v>Nayapamula,Gamagoda,Baddegama.</v>
      </c>
      <c r="H695" s="5" t="str">
        <f t="shared" si="2"/>
        <v xml:space="preserve"> View Map </v>
      </c>
    </row>
    <row r="696" spans="2:8" x14ac:dyDescent="0.2">
      <c r="B696" s="4" t="str">
        <f>PROPER(Sheet1!$B696&amp;" "&amp;"Tea Factory")</f>
        <v>Finlay Green Teas  Tea Factory</v>
      </c>
      <c r="F696" s="4" t="str">
        <f>Sheet1!G696</f>
        <v>Kirimanagan</v>
      </c>
      <c r="G696" s="4" t="str">
        <f>Sheet1!J696</f>
        <v>Haldumulla,Badulla.</v>
      </c>
      <c r="H696" s="5" t="str">
        <f t="shared" si="2"/>
        <v xml:space="preserve"> View Map </v>
      </c>
    </row>
    <row r="697" spans="2:8" x14ac:dyDescent="0.2">
      <c r="B697" s="4" t="str">
        <f>PROPER(Sheet1!$B697&amp;" "&amp;"Tea Factory")</f>
        <v>Luccombe Tea Factory</v>
      </c>
      <c r="F697" s="4">
        <f>Sheet1!G697</f>
        <v>0</v>
      </c>
      <c r="G697" s="4" t="str">
        <f>Sheet1!J697</f>
        <v>MaussakelleAmbagamuwaNuwaraeliya</v>
      </c>
      <c r="H697" s="5" t="str">
        <f t="shared" si="2"/>
        <v xml:space="preserve"> View Map </v>
      </c>
    </row>
    <row r="698" spans="2:8" x14ac:dyDescent="0.2">
      <c r="B698" s="4" t="str">
        <f>PROPER(Sheet1!$B698&amp;" "&amp;"Tea Factory")</f>
        <v xml:space="preserve"> Sri Samaneliya Tea Factory</v>
      </c>
      <c r="F698" s="4" t="str">
        <f>Sheet1!G698</f>
        <v>Diviyagala</v>
      </c>
      <c r="G698" s="4" t="str">
        <f>Sheet1!J698</f>
        <v>Diyagala Street,Palabaddala,SiripagamaRatnapura.</v>
      </c>
      <c r="H698" s="5" t="str">
        <f t="shared" si="2"/>
        <v xml:space="preserve"> View Map </v>
      </c>
    </row>
    <row r="699" spans="2:8" x14ac:dyDescent="0.2">
      <c r="B699" s="4" t="str">
        <f>PROPER(Sheet1!$B699&amp;" "&amp;"Tea Factory")</f>
        <v>Kosgahadola Ella Tea Factory</v>
      </c>
      <c r="F699" s="4" t="str">
        <f>Sheet1!G699</f>
        <v>Ehela Kanda</v>
      </c>
      <c r="G699" s="4" t="str">
        <f>Sheet1!J699</f>
        <v>Gomila,Mawarala.</v>
      </c>
      <c r="H699" s="5" t="str">
        <f t="shared" si="2"/>
        <v xml:space="preserve"> View Map </v>
      </c>
    </row>
    <row r="700" spans="2:8" x14ac:dyDescent="0.2">
      <c r="B700" s="4" t="str">
        <f>PROPER(Sheet1!$B700&amp;" "&amp;"Tea Factory")</f>
        <v>Liyota Tea Factory</v>
      </c>
      <c r="F700" s="4" t="str">
        <f>Sheet1!G700</f>
        <v>Udubettawa</v>
      </c>
      <c r="G700" s="4" t="str">
        <f>Sheet1!J700</f>
        <v>Udubattawa,AkmeemanaGalle</v>
      </c>
      <c r="H700" s="5" t="str">
        <f t="shared" si="2"/>
        <v xml:space="preserve"> View Map </v>
      </c>
    </row>
    <row r="701" spans="2:8" x14ac:dyDescent="0.2">
      <c r="B701" s="4" t="str">
        <f>PROPER(Sheet1!$B701&amp;" "&amp;"Tea Factory")</f>
        <v>Galatara Tea Factory</v>
      </c>
      <c r="F701" s="4" t="str">
        <f>Sheet1!G701</f>
        <v>Galatara</v>
      </c>
      <c r="G701" s="4" t="str">
        <f>Sheet1!J701</f>
        <v>Walallawita,Halwala,Galatara.</v>
      </c>
      <c r="H701" s="5" t="str">
        <f t="shared" si="2"/>
        <v xml:space="preserve"> View Map </v>
      </c>
    </row>
    <row r="702" spans="2:8" x14ac:dyDescent="0.2">
      <c r="B702" s="4" t="str">
        <f>PROPER(Sheet1!$B702&amp;" "&amp;"Tea Factory")</f>
        <v>New Wewelkandura Tea Factory</v>
      </c>
      <c r="F702" s="4" t="str">
        <f>Sheet1!G702</f>
        <v>Udapebotuwa</v>
      </c>
      <c r="G702" s="4" t="str">
        <f>Sheet1!J702</f>
        <v>Pebotuwa,Kalawana,Ratnapura.</v>
      </c>
      <c r="H702" s="5" t="str">
        <f t="shared" si="2"/>
        <v xml:space="preserve"> View Map </v>
      </c>
    </row>
    <row r="703" spans="2:8" x14ac:dyDescent="0.2">
      <c r="B703" s="4" t="str">
        <f>PROPER(Sheet1!$B703&amp;" "&amp;"Tea Factory")</f>
        <v>Dellawa Tea Factory</v>
      </c>
      <c r="F703" s="4">
        <f>Sheet1!G703</f>
        <v>0</v>
      </c>
      <c r="G703" s="4" t="str">
        <f>Sheet1!J703</f>
        <v>DellawaMorawaka</v>
      </c>
      <c r="H703" s="5" t="str">
        <f t="shared" si="2"/>
        <v xml:space="preserve"> View Map </v>
      </c>
    </row>
    <row r="704" spans="2:8" x14ac:dyDescent="0.2">
      <c r="B704" s="4" t="str">
        <f>PROPER(Sheet1!$B704&amp;" "&amp;"Tea Factory")</f>
        <v>Galle Ray Tea Factory</v>
      </c>
      <c r="F704" s="4" t="str">
        <f>Sheet1!G704</f>
        <v>Majuwana</v>
      </c>
      <c r="G704" s="4" t="str">
        <f>Sheet1!J704</f>
        <v>Keradewala,MajuwanaBaddegama</v>
      </c>
      <c r="H704" s="5" t="str">
        <f t="shared" si="2"/>
        <v xml:space="preserve"> View Map </v>
      </c>
    </row>
    <row r="705" spans="2:8" x14ac:dyDescent="0.2">
      <c r="B705" s="4" t="str">
        <f>PROPER(Sheet1!$B705&amp;" "&amp;"Tea Factory")</f>
        <v>Ekvin Tea Factory</v>
      </c>
      <c r="F705" s="4" t="str">
        <f>Sheet1!G705</f>
        <v>Opatha</v>
      </c>
      <c r="G705" s="4" t="str">
        <f>Sheet1!J705</f>
        <v>Banagala Road,Opatha,Galle.</v>
      </c>
      <c r="H705" s="5" t="str">
        <f t="shared" si="2"/>
        <v xml:space="preserve"> View Map </v>
      </c>
    </row>
    <row r="706" spans="2:8" x14ac:dyDescent="0.2">
      <c r="B706" s="4" t="str">
        <f>PROPER(Sheet1!$B706&amp;" "&amp;"Tea Factory")</f>
        <v>Nivithigala Tea Factory</v>
      </c>
      <c r="F706" s="4" t="str">
        <f>Sheet1!G706</f>
        <v>Madara</v>
      </c>
      <c r="G706" s="4" t="str">
        <f>Sheet1!J706</f>
        <v>Madara Estate, Nivithigala.</v>
      </c>
      <c r="H706" s="5" t="str">
        <f t="shared" si="2"/>
        <v xml:space="preserve"> View Map </v>
      </c>
    </row>
    <row r="707" spans="2:8" x14ac:dyDescent="0.2">
      <c r="B707" s="4" t="str">
        <f>PROPER(Sheet1!$B707&amp;" "&amp;"Tea Factory")</f>
        <v>Falcon Tea Factory</v>
      </c>
      <c r="F707" s="4">
        <f>Sheet1!G707</f>
        <v>0</v>
      </c>
      <c r="G707" s="4" t="str">
        <f>Sheet1!J707</f>
        <v>Elapatha,Ratnapura</v>
      </c>
      <c r="H707" s="5" t="str">
        <f t="shared" si="2"/>
        <v xml:space="preserve"> View Map </v>
      </c>
    </row>
    <row r="708" spans="2:8" x14ac:dyDescent="0.2">
      <c r="B708" s="4" t="str">
        <f>PROPER(Sheet1!$B708&amp;" "&amp;"Tea Factory")</f>
        <v>Veddagala Tea Factory</v>
      </c>
      <c r="F708" s="4">
        <f>Sheet1!G708</f>
        <v>0</v>
      </c>
      <c r="G708" s="4" t="str">
        <f>Sheet1!J708</f>
        <v>Veddagala,Kalawana.</v>
      </c>
      <c r="H708" s="5" t="str">
        <f t="shared" si="2"/>
        <v xml:space="preserve"> View Map </v>
      </c>
    </row>
    <row r="709" spans="2:8" x14ac:dyDescent="0.2">
      <c r="B709" s="4" t="str">
        <f>PROPER(Sheet1!$B709&amp;" "&amp;"Tea Factory")</f>
        <v>Cee Tee Hills Tea Factory</v>
      </c>
      <c r="F709" s="4">
        <f>Sheet1!G709</f>
        <v>0</v>
      </c>
      <c r="G709" s="4" t="str">
        <f>Sheet1!J709</f>
        <v>GalbokkaBeralapanathara</v>
      </c>
      <c r="H709" s="5" t="str">
        <f t="shared" si="2"/>
        <v xml:space="preserve"> View Map </v>
      </c>
    </row>
    <row r="710" spans="2:8" x14ac:dyDescent="0.2">
      <c r="B710" s="4" t="str">
        <f>PROPER(Sheet1!$B710&amp;" "&amp;"Tea Factory")</f>
        <v>Crystal Leaf Tea Factory</v>
      </c>
      <c r="F710" s="4">
        <f>Sheet1!G710</f>
        <v>0</v>
      </c>
      <c r="G710" s="4" t="str">
        <f>Sheet1!J710</f>
        <v>Kimbulawala, Mattaka</v>
      </c>
      <c r="H710" s="5" t="str">
        <f t="shared" si="2"/>
        <v xml:space="preserve"> View Map </v>
      </c>
    </row>
    <row r="711" spans="2:8" x14ac:dyDescent="0.2">
      <c r="B711" s="4" t="str">
        <f>PROPER(Sheet1!$B711&amp;" "&amp;"Tea Factory")</f>
        <v>Menik Valley Tea Factory</v>
      </c>
      <c r="F711" s="4">
        <f>Sheet1!G711</f>
        <v>0</v>
      </c>
      <c r="G711" s="4" t="str">
        <f>Sheet1!J711</f>
        <v>DaugalaKalawanaRatnapura</v>
      </c>
      <c r="H711" s="5" t="str">
        <f t="shared" si="2"/>
        <v xml:space="preserve"> View Map </v>
      </c>
    </row>
    <row r="712" spans="2:8" x14ac:dyDescent="0.2">
      <c r="B712" s="4" t="str">
        <f>PROPER(Sheet1!$B712&amp;" "&amp;"Tea Factory")</f>
        <v>Yenara Tea Factory</v>
      </c>
      <c r="F712" s="4">
        <f>Sheet1!G712</f>
        <v>0</v>
      </c>
      <c r="G712" s="4" t="str">
        <f>Sheet1!J712</f>
        <v>Hythe EstateAraliyagamaDeltota</v>
      </c>
      <c r="H712" s="5" t="str">
        <f t="shared" si="2"/>
        <v xml:space="preserve"> View Map </v>
      </c>
    </row>
    <row r="713" spans="2:8" x14ac:dyDescent="0.2">
      <c r="B713" s="4" t="str">
        <f>PROPER(Sheet1!$B713&amp;" "&amp;"Tea Factory")</f>
        <v>Ceylon Ray Tea Factory</v>
      </c>
      <c r="F713" s="4">
        <f>Sheet1!G713</f>
        <v>0</v>
      </c>
      <c r="G713" s="4" t="str">
        <f>Sheet1!J713</f>
        <v>Udugama Road,Opatha,Galle.</v>
      </c>
      <c r="H713" s="5" t="str">
        <f t="shared" si="2"/>
        <v xml:space="preserve"> View Map </v>
      </c>
    </row>
    <row r="714" spans="2:8" x14ac:dyDescent="0.2">
      <c r="B714" s="4" t="str">
        <f>PROPER(Sheet1!$B714&amp;" "&amp;"Tea Factory")</f>
        <v>Rammalakande Tea Factory</v>
      </c>
      <c r="F714" s="4">
        <f>Sheet1!G714</f>
        <v>0</v>
      </c>
      <c r="G714" s="4" t="str">
        <f>Sheet1!J714</f>
        <v xml:space="preserve">Rammala Kanda Tea </v>
      </c>
      <c r="H714" s="5" t="str">
        <f t="shared" si="2"/>
        <v xml:space="preserve"> View Map </v>
      </c>
    </row>
    <row r="715" spans="2:8" x14ac:dyDescent="0.2">
      <c r="B715" s="4" t="str">
        <f>PROPER(Sheet1!$B715&amp;" "&amp;"Tea Factory")</f>
        <v>Gahalawatta Tea Factory</v>
      </c>
      <c r="F715" s="4" t="str">
        <f>Sheet1!G715</f>
        <v>Harangalla</v>
      </c>
      <c r="G715" s="4" t="str">
        <f>Sheet1!J715</f>
        <v>Horangalla, Thalgaswala.</v>
      </c>
      <c r="H715" s="5" t="str">
        <f t="shared" si="2"/>
        <v xml:space="preserve"> View Map </v>
      </c>
    </row>
    <row r="716" spans="2:8" x14ac:dyDescent="0.2">
      <c r="B716" s="4" t="str">
        <f>PROPER(Sheet1!$B716&amp;" "&amp;"Tea Factory")</f>
        <v>Rotumba Tea Factory</v>
      </c>
      <c r="F716" s="4" t="str">
        <f>Sheet1!G716</f>
        <v>Rotumba</v>
      </c>
      <c r="G716" s="4" t="str">
        <f>Sheet1!J716</f>
        <v>Kolaniya Road,Rotumba,Pasgoda</v>
      </c>
      <c r="H716" s="5" t="str">
        <f t="shared" si="2"/>
        <v xml:space="preserve"> View Map </v>
      </c>
    </row>
    <row r="717" spans="2:8" x14ac:dyDescent="0.2">
      <c r="B717" s="4" t="str">
        <f>PROPER(Sheet1!$B717&amp;" "&amp;"Tea Factory")</f>
        <v>Golden Key Tea Factory</v>
      </c>
      <c r="F717" s="4" t="str">
        <f>Sheet1!G717</f>
        <v>Ketandola</v>
      </c>
      <c r="G717" s="4" t="str">
        <f>Sheet1!J717</f>
        <v>Ketandola,Ratnapura.</v>
      </c>
      <c r="H717" s="5" t="str">
        <f t="shared" si="2"/>
        <v xml:space="preserve"> View Map </v>
      </c>
    </row>
    <row r="718" spans="2:8" x14ac:dyDescent="0.2">
      <c r="B718" s="4" t="str">
        <f>PROPER(Sheet1!$B718&amp;" "&amp;"Tea Factory")</f>
        <v>Mahaliyadda Tea Factory</v>
      </c>
      <c r="F718" s="4" t="str">
        <f>Sheet1!G718</f>
        <v>UKOWITA</v>
      </c>
      <c r="G718" s="4" t="str">
        <f>Sheet1!J718</f>
        <v>Ukovita,Udugama,Galle.</v>
      </c>
      <c r="H718" s="5" t="str">
        <f t="shared" si="2"/>
        <v xml:space="preserve"> View Map </v>
      </c>
    </row>
    <row r="719" spans="2:8" x14ac:dyDescent="0.2">
      <c r="B719" s="4" t="str">
        <f>PROPER(Sheet1!$B719&amp;" "&amp;"Tea Factory")</f>
        <v>Kalawana Tea Factory</v>
      </c>
      <c r="F719" s="4" t="str">
        <f>Sheet1!G719</f>
        <v>Manana</v>
      </c>
      <c r="G719" s="4" t="str">
        <f>Sheet1!J719</f>
        <v>MananaKalawana</v>
      </c>
      <c r="H719" s="5" t="str">
        <f t="shared" si="2"/>
        <v xml:space="preserve"> View Map </v>
      </c>
    </row>
    <row r="720" spans="2:8" x14ac:dyDescent="0.2">
      <c r="B720" s="4" t="str">
        <f>PROPER(Sheet1!$B720&amp;" "&amp;"Tea Factory")</f>
        <v>Camellia Tea Factory</v>
      </c>
      <c r="F720" s="4" t="str">
        <f>Sheet1!G720</f>
        <v>Erathna</v>
      </c>
      <c r="G720" s="4" t="str">
        <f>Sheet1!J720</f>
        <v>Adavikande,  KuruwitaRatnapura</v>
      </c>
      <c r="H720" s="5" t="str">
        <f t="shared" si="2"/>
        <v xml:space="preserve"> View Map </v>
      </c>
    </row>
    <row r="721" spans="2:8" x14ac:dyDescent="0.2">
      <c r="B721" s="4" t="str">
        <f>PROPER(Sheet1!$B721&amp;" "&amp;"Tea Factory")</f>
        <v>Thundola Tea Factory</v>
      </c>
      <c r="F721" s="4">
        <f>Sheet1!G721</f>
        <v>0</v>
      </c>
      <c r="G721" s="4" t="str">
        <f>Sheet1!J721</f>
        <v>4th Mile Post,Neluwa Road,Pelawatte</v>
      </c>
      <c r="H721" s="5" t="str">
        <f t="shared" si="2"/>
        <v xml:space="preserve"> View Map </v>
      </c>
    </row>
    <row r="722" spans="2:8" x14ac:dyDescent="0.2">
      <c r="B722" s="4" t="str">
        <f>PROPER(Sheet1!$B722&amp;" "&amp;"Tea Factory")</f>
        <v>Deerwood Tea Factory</v>
      </c>
      <c r="F722" s="4">
        <f>Sheet1!G722</f>
        <v>0</v>
      </c>
      <c r="G722" s="4" t="str">
        <f>Sheet1!J722</f>
        <v>Erathna RoadSudagalaKuruwita</v>
      </c>
      <c r="H722" s="5" t="str">
        <f t="shared" si="2"/>
        <v xml:space="preserve"> View Map </v>
      </c>
    </row>
    <row r="723" spans="2:8" x14ac:dyDescent="0.2">
      <c r="B723" s="4" t="str">
        <f>PROPER(Sheet1!$B723&amp;" "&amp;"Tea Factory")</f>
        <v>Lancom Tea Factory</v>
      </c>
      <c r="F723" s="4">
        <f>Sheet1!G723</f>
        <v>0</v>
      </c>
      <c r="G723" s="4" t="str">
        <f>Sheet1!J723</f>
        <v>KotagalaAmbagamuwaDimbula-PathanaNuwara Eliya</v>
      </c>
      <c r="H723" s="5" t="str">
        <f t="shared" si="2"/>
        <v xml:space="preserve"> View Map </v>
      </c>
    </row>
    <row r="724" spans="2:8" x14ac:dyDescent="0.2">
      <c r="B724" s="4" t="str">
        <f>PROPER(Sheet1!$B724&amp;" "&amp;"Tea Factory")</f>
        <v>Seron Tea Factory</v>
      </c>
      <c r="F724" s="4" t="str">
        <f>Sheet1!G724</f>
        <v>Polwatte</v>
      </c>
      <c r="G724" s="4" t="str">
        <f>Sheet1!J724</f>
        <v>PolwattaWewelwatte</v>
      </c>
      <c r="H724" s="5" t="str">
        <f t="shared" si="2"/>
        <v xml:space="preserve"> View Map </v>
      </c>
    </row>
    <row r="725" spans="2:8" x14ac:dyDescent="0.2">
      <c r="B725" s="4" t="str">
        <f>PROPER(Sheet1!$B725&amp;" "&amp;"Tea Factory")</f>
        <v>New Laksakanda Tea Factory</v>
      </c>
      <c r="F725" s="4" t="str">
        <f>Sheet1!G725</f>
        <v>Laksakanda</v>
      </c>
      <c r="G725" s="4" t="str">
        <f>Sheet1!J725</f>
        <v>Erathna,kuruvita.</v>
      </c>
      <c r="H725" s="5" t="str">
        <f t="shared" si="2"/>
        <v xml:space="preserve"> View Map </v>
      </c>
    </row>
    <row r="726" spans="2:8" x14ac:dyDescent="0.2">
      <c r="B726" s="4" t="str">
        <f>PROPER(Sheet1!$B726&amp;" "&amp;"Tea Factory")</f>
        <v>Nambapana Instant Tea Factory</v>
      </c>
      <c r="F726" s="4" t="str">
        <f>Sheet1!G726</f>
        <v>Urugalla</v>
      </c>
      <c r="G726" s="4" t="str">
        <f>Sheet1!J726</f>
        <v>P.O. Box 2NambapanaIngiriya</v>
      </c>
      <c r="H726" s="5" t="str">
        <f t="shared" si="2"/>
        <v xml:space="preserve"> View Map </v>
      </c>
    </row>
    <row r="727" spans="2:8" x14ac:dyDescent="0.2">
      <c r="B727" s="4" t="str">
        <f>PROPER(Sheet1!$B727&amp;" "&amp;"Tea Factory")</f>
        <v>Embilmeegama Tea Factory</v>
      </c>
      <c r="F727" s="4" t="str">
        <f>Sheet1!G727</f>
        <v>Ambilmeegama</v>
      </c>
      <c r="G727" s="4" t="str">
        <f>Sheet1!J727</f>
        <v>151, Colombo road,Embilmeegama,Pilimathalawa.</v>
      </c>
      <c r="H727" s="5" t="str">
        <f t="shared" si="2"/>
        <v xml:space="preserve"> View Map </v>
      </c>
    </row>
    <row r="728" spans="2:8" x14ac:dyDescent="0.2">
      <c r="B728" s="4" t="str">
        <f>PROPER(Sheet1!$B728&amp;" "&amp;"Tea Factory")</f>
        <v>Lions Tea Factory</v>
      </c>
      <c r="F728" s="4" t="str">
        <f>Sheet1!G728</f>
        <v>Kekundeniya</v>
      </c>
      <c r="G728" s="4" t="str">
        <f>Sheet1!J728</f>
        <v>Ketawala Road,Beralapanathara.</v>
      </c>
      <c r="H728" s="5" t="str">
        <f t="shared" si="2"/>
        <v xml:space="preserve"> View Map </v>
      </c>
    </row>
    <row r="729" spans="2:8" x14ac:dyDescent="0.2">
      <c r="B729" s="4" t="str">
        <f>PROPER(Sheet1!$B729&amp;" "&amp;"Tea Factory")</f>
        <v>Peekview Tea Factory</v>
      </c>
      <c r="F729" s="4" t="str">
        <f>Sheet1!G729</f>
        <v>Lellopitiya</v>
      </c>
      <c r="G729" s="4" t="str">
        <f>Sheet1!J729</f>
        <v>Dippitiyala,Lellopitiya.</v>
      </c>
      <c r="H729" s="5" t="str">
        <f t="shared" si="2"/>
        <v xml:space="preserve"> View Map </v>
      </c>
    </row>
    <row r="730" spans="2:8" x14ac:dyDescent="0.2">
      <c r="B730" s="4" t="str">
        <f>PROPER(Sheet1!$B730&amp;" "&amp;"Tea Factory")</f>
        <v>Fairymount Tea Factory</v>
      </c>
      <c r="F730" s="4" t="str">
        <f>Sheet1!G730</f>
        <v>Milla Ela</v>
      </c>
      <c r="G730" s="4" t="str">
        <f>Sheet1!J730</f>
        <v>Milla-ElaMorawaka</v>
      </c>
      <c r="H730" s="5" t="str">
        <f t="shared" si="2"/>
        <v xml:space="preserve"> View Map </v>
      </c>
    </row>
    <row r="731" spans="2:8" x14ac:dyDescent="0.2">
      <c r="B731" s="4" t="str">
        <f>PROPER(Sheet1!$B731&amp;" "&amp;"Tea Factory")</f>
        <v>Brombil Tea Factory</v>
      </c>
      <c r="F731" s="4" t="str">
        <f>Sheet1!G731</f>
        <v>Gorakaduwa</v>
      </c>
      <c r="G731" s="4" t="str">
        <f>Sheet1!J731</f>
        <v>Pitigala Road,Pelawatta.</v>
      </c>
      <c r="H731" s="5" t="str">
        <f t="shared" si="2"/>
        <v xml:space="preserve"> View Map </v>
      </c>
    </row>
    <row r="732" spans="2:8" x14ac:dyDescent="0.2">
      <c r="B732" s="4" t="str">
        <f>PROPER(Sheet1!$B732&amp;" "&amp;"Tea Factory")</f>
        <v>Tea Lanka Tea Factory</v>
      </c>
      <c r="F732" s="4" t="str">
        <f>Sheet1!G732</f>
        <v>Weralugahamula</v>
      </c>
      <c r="G732" s="4" t="str">
        <f>Sheet1!J732</f>
        <v>Weralugahamula,Rakwana.</v>
      </c>
      <c r="H732" s="5" t="str">
        <f t="shared" si="2"/>
        <v xml:space="preserve"> View Map </v>
      </c>
    </row>
    <row r="733" spans="2:8" x14ac:dyDescent="0.2">
      <c r="B733" s="4" t="str">
        <f>PROPER(Sheet1!$B733&amp;" "&amp;"Tea Factory")</f>
        <v>Daduwangala Watte Tea Factory</v>
      </c>
      <c r="F733" s="4">
        <f>Sheet1!G733</f>
        <v>0</v>
      </c>
      <c r="G733" s="4" t="str">
        <f>Sheet1!J733</f>
        <v>Millawitiya,KuruwitaRatnapura</v>
      </c>
      <c r="H733" s="5" t="str">
        <f t="shared" si="2"/>
        <v xml:space="preserve"> View Map </v>
      </c>
    </row>
    <row r="734" spans="2:8" x14ac:dyDescent="0.2">
      <c r="B734" s="4" t="str">
        <f>PROPER(Sheet1!$B734&amp;" "&amp;"Tea Factory")</f>
        <v>Nilrich Tea Factory</v>
      </c>
      <c r="F734" s="4" t="str">
        <f>Sheet1!G734</f>
        <v>Bengamuwa</v>
      </c>
      <c r="G734" s="4" t="str">
        <f>Sheet1!J734</f>
        <v>BangamuwaPasgodaMatara</v>
      </c>
      <c r="H734" s="5" t="str">
        <f t="shared" si="2"/>
        <v xml:space="preserve"> View Map </v>
      </c>
    </row>
    <row r="735" spans="2:8" x14ac:dyDescent="0.2">
      <c r="B735" s="4" t="str">
        <f>PROPER(Sheet1!$B735&amp;" "&amp;"Tea Factory")</f>
        <v>Triton Hills Tea Factory</v>
      </c>
      <c r="F735" s="4" t="str">
        <f>Sheet1!G735</f>
        <v>Neralampitiya</v>
      </c>
      <c r="G735" s="4" t="str">
        <f>Sheet1!J735</f>
        <v>Hakmana Road,Mulatiyana,Matara.</v>
      </c>
      <c r="H735" s="5" t="str">
        <f t="shared" si="2"/>
        <v xml:space="preserve"> View Map </v>
      </c>
    </row>
    <row r="736" spans="2:8" x14ac:dyDescent="0.2">
      <c r="B736" s="4" t="str">
        <f>PROPER(Sheet1!$B736&amp;" "&amp;"Tea Factory")</f>
        <v>Karawita Tea Factory</v>
      </c>
      <c r="F736" s="4" t="str">
        <f>Sheet1!G736</f>
        <v>Nivithigala-</v>
      </c>
      <c r="G736" s="4" t="str">
        <f>Sheet1!J736</f>
        <v>Uda Karawita,Karawita.</v>
      </c>
      <c r="H736" s="5" t="str">
        <f t="shared" si="2"/>
        <v xml:space="preserve"> View Map </v>
      </c>
    </row>
    <row r="737" spans="2:8" x14ac:dyDescent="0.2">
      <c r="B737" s="4" t="str">
        <f>PROPER(Sheet1!$B737&amp;" "&amp;"Tea Factory")</f>
        <v>Sunils Tea Factory</v>
      </c>
      <c r="F737" s="4" t="str">
        <f>Sheet1!G737</f>
        <v>Eduragala</v>
      </c>
      <c r="G737" s="4" t="str">
        <f>Sheet1!J737</f>
        <v>Eduragala,Ingiriya.</v>
      </c>
      <c r="H737" s="5" t="str">
        <f t="shared" si="2"/>
        <v xml:space="preserve"> View Map </v>
      </c>
    </row>
    <row r="738" spans="2:8" x14ac:dyDescent="0.2">
      <c r="B738" s="4" t="str">
        <f>PROPER(Sheet1!$B738&amp;" "&amp;"Tea Factory")</f>
        <v>Kellapatha Tea Factory</v>
      </c>
      <c r="F738" s="4" t="str">
        <f>Sheet1!G738</f>
        <v>Kellapatha</v>
      </c>
      <c r="G738" s="4" t="str">
        <f>Sheet1!J738</f>
        <v>Amugoda,Kellapatha.</v>
      </c>
      <c r="H738" s="5" t="str">
        <f t="shared" si="2"/>
        <v xml:space="preserve"> View Map </v>
      </c>
    </row>
    <row r="739" spans="2:8" x14ac:dyDescent="0.2">
      <c r="B739" s="4" t="str">
        <f>PROPER(Sheet1!$B739&amp;" "&amp;"Tea Factory")</f>
        <v>Purerich Tea Factory</v>
      </c>
      <c r="F739" s="4" t="str">
        <f>Sheet1!G739</f>
        <v>Nishshankapura</v>
      </c>
      <c r="G739" s="4" t="str">
        <f>Sheet1!J739</f>
        <v>Pallegama Road,Deniyaya.</v>
      </c>
      <c r="H739" s="5" t="str">
        <f t="shared" si="2"/>
        <v xml:space="preserve"> View Map </v>
      </c>
    </row>
    <row r="740" spans="2:8" x14ac:dyDescent="0.2">
      <c r="B740" s="4" t="str">
        <f>PROPER(Sheet1!$B740&amp;" "&amp;"Tea Factory")</f>
        <v>Muswenna Tea Factory</v>
      </c>
      <c r="F740" s="4" t="str">
        <f>Sheet1!G740</f>
        <v>Walpola</v>
      </c>
      <c r="G740" s="4" t="str">
        <f>Sheet1!J740</f>
        <v>Walpola,Imaduwa.</v>
      </c>
      <c r="H740" s="5" t="str">
        <f t="shared" si="2"/>
        <v xml:space="preserve"> View Map </v>
      </c>
    </row>
    <row r="741" spans="2:8" x14ac:dyDescent="0.2">
      <c r="B741" s="4" t="str">
        <f>PROPER(Sheet1!$B741&amp;" "&amp;"Tea Factory")</f>
        <v>New J S P  Tea Factory</v>
      </c>
      <c r="F741" s="4" t="str">
        <f>Sheet1!G741</f>
        <v>Welipenna</v>
      </c>
      <c r="G741" s="4" t="str">
        <f>Sheet1!J741</f>
        <v>Horawala,Welipenna.</v>
      </c>
      <c r="H741" s="5" t="str">
        <f t="shared" si="2"/>
        <v xml:space="preserve"> View Map </v>
      </c>
    </row>
    <row r="742" spans="2:8" x14ac:dyDescent="0.2">
      <c r="B742" s="4" t="str">
        <f>PROPER(Sheet1!$B742&amp;" "&amp;"Tea Factory")</f>
        <v>Morapitiya Tea Factory</v>
      </c>
      <c r="F742" s="4" t="str">
        <f>Sheet1!G742</f>
        <v>Morapitiya</v>
      </c>
      <c r="G742" s="4" t="str">
        <f>Sheet1!J742</f>
        <v>Morapitiya,Agalawatte.</v>
      </c>
      <c r="H742" s="5" t="str">
        <f t="shared" si="2"/>
        <v xml:space="preserve"> View Map </v>
      </c>
    </row>
    <row r="743" spans="2:8" x14ac:dyDescent="0.2">
      <c r="B743" s="4" t="str">
        <f>PROPER(Sheet1!$B743&amp;" "&amp;"Tea Factory")</f>
        <v>Sanora Tea Factory</v>
      </c>
      <c r="F743" s="4" t="str">
        <f>Sheet1!G743</f>
        <v>Guruluwana</v>
      </c>
      <c r="G743" s="4" t="str">
        <f>Sheet1!J743</f>
        <v>Gilimale,Ratnapura.</v>
      </c>
      <c r="H743" s="5" t="str">
        <f t="shared" si="2"/>
        <v xml:space="preserve"> View Map </v>
      </c>
    </row>
    <row r="744" spans="2:8" x14ac:dyDescent="0.2">
      <c r="B744" s="4" t="str">
        <f>PROPER(Sheet1!$B744&amp;" "&amp;"Tea Factory")</f>
        <v>Henatenna Tea Factory</v>
      </c>
      <c r="F744" s="4" t="str">
        <f>Sheet1!G744</f>
        <v>Delmella</v>
      </c>
      <c r="G744" s="4" t="str">
        <f>Sheet1!J744</f>
        <v>Delmella,Bulathsinghala.</v>
      </c>
      <c r="H744" s="5" t="str">
        <f t="shared" si="2"/>
        <v xml:space="preserve"> View Map </v>
      </c>
    </row>
    <row r="745" spans="2:8" x14ac:dyDescent="0.2">
      <c r="B745" s="4" t="str">
        <f>PROPER(Sheet1!$B745&amp;" "&amp;"Tea Factory")</f>
        <v>New Hopewell Tea Factory</v>
      </c>
      <c r="F745" s="4" t="str">
        <f>Sheet1!G745</f>
        <v>Hope well</v>
      </c>
      <c r="G745" s="4" t="str">
        <f>Sheet1!J745</f>
        <v>kirimetitennaBalangoda.</v>
      </c>
      <c r="H745" s="5" t="str">
        <f t="shared" si="2"/>
        <v xml:space="preserve"> View Map </v>
      </c>
    </row>
    <row r="746" spans="2:8" x14ac:dyDescent="0.2">
      <c r="B746" s="4" t="str">
        <f>PROPER(Sheet1!$B746&amp;" "&amp;"Tea Factory")</f>
        <v>Raigam Korale Tea Shakthi  Tea Factory</v>
      </c>
      <c r="F746" s="4" t="str">
        <f>Sheet1!G746</f>
        <v>Maputugala</v>
      </c>
      <c r="G746" s="4" t="str">
        <f>Sheet1!J746</f>
        <v>Gurugoda,Poruwadanda, Horana.</v>
      </c>
      <c r="H746" s="5" t="str">
        <f t="shared" si="2"/>
        <v xml:space="preserve"> View Map </v>
      </c>
    </row>
    <row r="747" spans="2:8" x14ac:dyDescent="0.2">
      <c r="B747" s="4" t="str">
        <f>PROPER(Sheet1!$B747&amp;" "&amp;"Tea Factory")</f>
        <v>Derangala Tea Factory</v>
      </c>
      <c r="F747" s="4" t="str">
        <f>Sheet1!G747</f>
        <v>Kiriwelkelle</v>
      </c>
      <c r="G747" s="4" t="str">
        <f>Sheet1!J747</f>
        <v>KiriwelkellePitabeddara</v>
      </c>
      <c r="H747" s="5" t="str">
        <f t="shared" si="2"/>
        <v xml:space="preserve"> View Map </v>
      </c>
    </row>
    <row r="748" spans="2:8" x14ac:dyDescent="0.2">
      <c r="B748" s="4" t="str">
        <f>PROPER(Sheet1!$B748&amp;" "&amp;"Tea Factory")</f>
        <v>Galaxy  Tea Factory</v>
      </c>
      <c r="F748" s="4" t="str">
        <f>Sheet1!G748</f>
        <v>Thennahena</v>
      </c>
      <c r="G748" s="4" t="str">
        <f>Sheet1!J748</f>
        <v>Thannahena NavalakandaKalawana</v>
      </c>
      <c r="H748" s="5" t="str">
        <f t="shared" si="2"/>
        <v xml:space="preserve"> View Map </v>
      </c>
    </row>
    <row r="749" spans="2:8" x14ac:dyDescent="0.2">
      <c r="B749" s="4" t="str">
        <f>PROPER(Sheet1!$B749&amp;" "&amp;"Tea Factory")</f>
        <v>Kudapana Tea Factory</v>
      </c>
      <c r="F749" s="4" t="str">
        <f>Sheet1!G749</f>
        <v>Kudapana</v>
      </c>
      <c r="G749" s="4" t="str">
        <f>Sheet1!J749</f>
        <v>Kudapana,Mawarala</v>
      </c>
      <c r="H749" s="5" t="str">
        <f t="shared" si="2"/>
        <v xml:space="preserve"> View Map </v>
      </c>
    </row>
    <row r="750" spans="2:8" x14ac:dyDescent="0.2">
      <c r="B750" s="4" t="str">
        <f>PROPER(Sheet1!$B750&amp;" "&amp;"Tea Factory")</f>
        <v>Gurudiyapotha Tea Factory</v>
      </c>
      <c r="F750" s="4" t="str">
        <f>Sheet1!G750</f>
        <v>Lelwala</v>
      </c>
      <c r="G750" s="4" t="str">
        <f>Sheet1!J750</f>
        <v>Lelwala, Neluwa,Galle</v>
      </c>
      <c r="H750" s="5" t="str">
        <f t="shared" si="2"/>
        <v xml:space="preserve"> View Map </v>
      </c>
    </row>
    <row r="751" spans="2:8" x14ac:dyDescent="0.2">
      <c r="B751" s="4" t="str">
        <f>PROPER(Sheet1!$B751&amp;" "&amp;"Tea Factory")</f>
        <v>Thammenna Tea Factory</v>
      </c>
      <c r="F751" s="4" t="str">
        <f>Sheet1!G751</f>
        <v>Horagalla</v>
      </c>
      <c r="G751" s="4" t="str">
        <f>Sheet1!J751</f>
        <v>Group Link BWaralla</v>
      </c>
      <c r="H751" s="5" t="str">
        <f t="shared" si="2"/>
        <v xml:space="preserve"> View Map </v>
      </c>
    </row>
    <row r="752" spans="2:8" x14ac:dyDescent="0.2">
      <c r="B752" s="4" t="str">
        <f>PROPER(Sheet1!$B752&amp;" "&amp;"Tea Factory")</f>
        <v>Adams View Tea Factory</v>
      </c>
      <c r="F752" s="4" t="str">
        <f>Sheet1!G752</f>
        <v>Ratnapura</v>
      </c>
      <c r="G752" s="4" t="str">
        <f>Sheet1!J752</f>
        <v>No 4 Sri Pada MawathaRatnapura</v>
      </c>
      <c r="H752" s="5" t="str">
        <f t="shared" si="2"/>
        <v xml:space="preserve"> View Map </v>
      </c>
    </row>
    <row r="753" spans="2:8" x14ac:dyDescent="0.2">
      <c r="B753" s="4" t="str">
        <f>PROPER(Sheet1!$B753&amp;" "&amp;"Tea Factory")</f>
        <v>Kukuleganga Tea Factory</v>
      </c>
      <c r="F753" s="4" t="str">
        <f>Sheet1!G753</f>
        <v>Kukuleganga</v>
      </c>
      <c r="G753" s="4" t="str">
        <f>Sheet1!J753</f>
        <v>Pitigalakanda Road,Nawalakanda,Kalawana.</v>
      </c>
      <c r="H753" s="5" t="str">
        <f t="shared" si="2"/>
        <v xml:space="preserve"> View Map </v>
      </c>
    </row>
    <row r="754" spans="2:8" x14ac:dyDescent="0.2">
      <c r="B754" s="4" t="str">
        <f>PROPER(Sheet1!$B754&amp;" "&amp;"Tea Factory")</f>
        <v>Blue Mount Tea Factory</v>
      </c>
      <c r="F754" s="4" t="str">
        <f>Sheet1!G754</f>
        <v>Kanathiriyanwela</v>
      </c>
      <c r="G754" s="4" t="str">
        <f>Sheet1!J754</f>
        <v>Pinnawala, Balangoda.</v>
      </c>
      <c r="H754" s="5" t="str">
        <f t="shared" si="2"/>
        <v xml:space="preserve"> View Map </v>
      </c>
    </row>
    <row r="755" spans="2:8" x14ac:dyDescent="0.2">
      <c r="B755" s="4" t="str">
        <f>PROPER(Sheet1!$B755&amp;" "&amp;"Tea Factory")</f>
        <v>Ransegoda Tea Factory</v>
      </c>
      <c r="F755" s="4" t="str">
        <f>Sheet1!G755</f>
        <v>Ransagoda</v>
      </c>
      <c r="G755" s="4" t="str">
        <f>Sheet1!J755</f>
        <v>Ransegoda SouthKamburupitiya</v>
      </c>
      <c r="H755" s="5" t="str">
        <f t="shared" si="2"/>
        <v xml:space="preserve"> View Map </v>
      </c>
    </row>
    <row r="756" spans="2:8" x14ac:dyDescent="0.2">
      <c r="B756" s="4" t="str">
        <f>PROPER(Sheet1!$B756&amp;" "&amp;"Tea Factory")</f>
        <v>New Doralavitiyahena Tea Factory</v>
      </c>
      <c r="F756" s="4">
        <f>Sheet1!G756</f>
        <v>0</v>
      </c>
      <c r="G756" s="4" t="str">
        <f>Sheet1!J756</f>
        <v>WellanduraKahawattaRatnapura</v>
      </c>
      <c r="H756" s="5" t="str">
        <f t="shared" si="2"/>
        <v xml:space="preserve"> View Map </v>
      </c>
    </row>
    <row r="757" spans="2:8" x14ac:dyDescent="0.2">
      <c r="B757" s="4" t="str">
        <f>PROPER(Sheet1!$B757&amp;" "&amp;"Tea Factory")</f>
        <v>Winwood Tea Factory</v>
      </c>
      <c r="F757" s="4">
        <f>Sheet1!G757</f>
        <v>0</v>
      </c>
      <c r="G757" s="4" t="str">
        <f>Sheet1!J757</f>
        <v>Ratnapura Road, NambapanaIngiriya</v>
      </c>
      <c r="H757" s="5" t="str">
        <f t="shared" si="2"/>
        <v xml:space="preserve"> View Map </v>
      </c>
    </row>
    <row r="758" spans="2:8" x14ac:dyDescent="0.2">
      <c r="B758" s="4" t="str">
        <f>PROPER(Sheet1!$B758&amp;" "&amp;"Tea Factory")</f>
        <v>Golden Valley Tea Factory</v>
      </c>
      <c r="F758" s="4">
        <f>Sheet1!G758</f>
        <v>0</v>
      </c>
      <c r="G758" s="4" t="str">
        <f>Sheet1!J758</f>
        <v>Menik Valley EstateDaugalaKalawana</v>
      </c>
      <c r="H758" s="5" t="str">
        <f t="shared" si="2"/>
        <v xml:space="preserve"> View Map </v>
      </c>
    </row>
    <row r="759" spans="2:8" x14ac:dyDescent="0.2">
      <c r="B759" s="4" t="str">
        <f>PROPER(Sheet1!$B759&amp;" "&amp;"Tea Factory")</f>
        <v>Paragodakanda Tea Factory</v>
      </c>
      <c r="F759" s="4">
        <f>Sheet1!G759</f>
        <v>0</v>
      </c>
      <c r="G759" s="4" t="str">
        <f>Sheet1!J759</f>
        <v>Galle RoadParagodaImaduwa</v>
      </c>
      <c r="H759" s="5" t="str">
        <f t="shared" si="2"/>
        <v xml:space="preserve"> View Map </v>
      </c>
    </row>
    <row r="760" spans="2:8" x14ac:dyDescent="0.2">
      <c r="B760" s="4" t="str">
        <f>PROPER(Sheet1!$B760&amp;" "&amp;"Tea Factory")</f>
        <v>Nilvin View Tea Factory</v>
      </c>
      <c r="F760" s="4">
        <f>Sheet1!G760</f>
        <v>0</v>
      </c>
      <c r="G760" s="4" t="str">
        <f>Sheet1!J760</f>
        <v>Hapurudeniya EstateWellanduraKahawatte</v>
      </c>
      <c r="H760" s="5" t="str">
        <f t="shared" si="2"/>
        <v xml:space="preserve"> View Map </v>
      </c>
    </row>
    <row r="761" spans="2:8" x14ac:dyDescent="0.2">
      <c r="B761" s="4" t="str">
        <f>PROPER(Sheet1!$B761&amp;" "&amp;"Tea Factory")</f>
        <v>Co-Op Tea Tea Factory</v>
      </c>
      <c r="F761" s="4">
        <f>Sheet1!G761</f>
        <v>0</v>
      </c>
      <c r="G761" s="4" t="str">
        <f>Sheet1!J761</f>
        <v>EllahenaKahawatte</v>
      </c>
      <c r="H761" s="5" t="str">
        <f t="shared" si="2"/>
        <v xml:space="preserve"> View Map </v>
      </c>
    </row>
    <row r="762" spans="2:8" x14ac:dyDescent="0.2">
      <c r="B762" s="4" t="str">
        <f>PROPER(Sheet1!$B762&amp;" "&amp;"Tea Factory")</f>
        <v>Kanneliya Tea Factory</v>
      </c>
      <c r="F762" s="4" t="str">
        <f>Sheet1!G762</f>
        <v>Panangala</v>
      </c>
      <c r="G762" s="4" t="str">
        <f>Sheet1!J762</f>
        <v>Koralegama,Panangala.</v>
      </c>
      <c r="H762" s="5" t="str">
        <f t="shared" si="2"/>
        <v xml:space="preserve"> View Map </v>
      </c>
    </row>
    <row r="763" spans="2:8" x14ac:dyDescent="0.2">
      <c r="B763" s="4" t="str">
        <f>PROPER(Sheet1!$B763&amp;" "&amp;"Tea Factory")</f>
        <v>Urubokka Tea Factory</v>
      </c>
      <c r="F763" s="4" t="str">
        <f>Sheet1!G763</f>
        <v>Urubokka</v>
      </c>
      <c r="G763" s="4" t="str">
        <f>Sheet1!J763</f>
        <v>Urubokka. Pasgoda,Deniyaya</v>
      </c>
      <c r="H763" s="5" t="str">
        <f t="shared" si="2"/>
        <v xml:space="preserve"> View Map </v>
      </c>
    </row>
    <row r="764" spans="2:8" x14ac:dyDescent="0.2">
      <c r="B764" s="4" t="str">
        <f>PROPER(Sheet1!$B764&amp;" "&amp;"Tea Factory")</f>
        <v>Green House Tea Factory</v>
      </c>
      <c r="F764" s="4">
        <f>Sheet1!G764</f>
        <v>0</v>
      </c>
      <c r="G764" s="4" t="str">
        <f>Sheet1!J764</f>
        <v>Panakaduwa WestPasgodaMatara</v>
      </c>
      <c r="H764" s="5" t="str">
        <f t="shared" si="2"/>
        <v xml:space="preserve"> View Map </v>
      </c>
    </row>
    <row r="765" spans="2:8" x14ac:dyDescent="0.2">
      <c r="B765" s="4" t="str">
        <f>PROPER(Sheet1!$B765&amp;" "&amp;"Tea Factory")</f>
        <v>Sihara Tea Factory</v>
      </c>
      <c r="F765" s="4" t="str">
        <f>Sheet1!G765</f>
        <v>Thawalama</v>
      </c>
      <c r="G765" s="4" t="str">
        <f>Sheet1!J765</f>
        <v>Singha Stores, Thawalama South,Galle.</v>
      </c>
      <c r="H765" s="5" t="str">
        <f t="shared" si="2"/>
        <v xml:space="preserve"> View Map </v>
      </c>
    </row>
    <row r="766" spans="2:8" x14ac:dyDescent="0.2">
      <c r="B766" s="4" t="str">
        <f>PROPER(Sheet1!$B766&amp;" "&amp;"Tea Factory")</f>
        <v>Nilgiri Tea Factory</v>
      </c>
      <c r="F766" s="4" t="str">
        <f>Sheet1!G766</f>
        <v>Paragala</v>
      </c>
      <c r="G766" s="4" t="str">
        <f>Sheet1!J766</f>
        <v>Jayabima,Paragala,Morawaka.</v>
      </c>
      <c r="H766" s="5" t="str">
        <f t="shared" si="2"/>
        <v xml:space="preserve"> View Map </v>
      </c>
    </row>
    <row r="767" spans="2:8" x14ac:dyDescent="0.2">
      <c r="B767" s="4" t="str">
        <f>PROPER(Sheet1!$B767&amp;" "&amp;"Tea Factory")</f>
        <v>Alhewana Tea Factory</v>
      </c>
      <c r="F767" s="4">
        <f>Sheet1!G767</f>
        <v>0</v>
      </c>
      <c r="G767" s="4" t="str">
        <f>Sheet1!J767</f>
        <v>Nabada Road,Matugama.</v>
      </c>
      <c r="H767" s="5" t="str">
        <f t="shared" ref="H767:H1021" si="3">HYPERLINK("https://www.google.com/maps/search/"&amp;SUBSTITUTE($B767,"","+")," View Map ")</f>
        <v xml:space="preserve"> View Map </v>
      </c>
    </row>
    <row r="768" spans="2:8" x14ac:dyDescent="0.2">
      <c r="B768" s="4" t="str">
        <f>PROPER(Sheet1!$B768&amp;" "&amp;"Tea Factory")</f>
        <v>Elpitiya Tea Shakthi Tea Factory</v>
      </c>
      <c r="F768" s="4" t="str">
        <f>Sheet1!G768</f>
        <v>Ganegoda</v>
      </c>
      <c r="G768" s="4" t="str">
        <f>Sheet1!J768</f>
        <v>Ketapala, Genegoda.</v>
      </c>
      <c r="H768" s="5" t="str">
        <f t="shared" si="3"/>
        <v xml:space="preserve"> View Map </v>
      </c>
    </row>
    <row r="769" spans="2:8" x14ac:dyDescent="0.2">
      <c r="B769" s="4" t="str">
        <f>PROPER(Sheet1!$B769&amp;" "&amp;"Tea Factory")</f>
        <v>Sri Palabaddala Tea Factory</v>
      </c>
      <c r="F769" s="4" t="str">
        <f>Sheet1!G769</f>
        <v>Guruluwana</v>
      </c>
      <c r="G769" s="4" t="str">
        <f>Sheet1!J769</f>
        <v>1/15 ,Malwala Road,Ratnapura.</v>
      </c>
      <c r="H769" s="5" t="str">
        <f t="shared" si="3"/>
        <v xml:space="preserve"> View Map </v>
      </c>
    </row>
    <row r="770" spans="2:8" x14ac:dyDescent="0.2">
      <c r="B770" s="4" t="str">
        <f>PROPER(Sheet1!$B770&amp;" "&amp;"Tea Factory")</f>
        <v>Walawwatta Tea Factory</v>
      </c>
      <c r="F770" s="4">
        <f>Sheet1!G770</f>
        <v>0</v>
      </c>
      <c r="G770" s="4" t="str">
        <f>Sheet1!J770</f>
        <v>Walawwatta- Waralla</v>
      </c>
      <c r="H770" s="5" t="str">
        <f t="shared" si="3"/>
        <v xml:space="preserve"> View Map </v>
      </c>
    </row>
    <row r="771" spans="2:8" x14ac:dyDescent="0.2">
      <c r="B771" s="4" t="str">
        <f>PROPER(Sheet1!$B771&amp;" "&amp;"Tea Factory")</f>
        <v>Sunrise Tea Factory</v>
      </c>
      <c r="F771" s="4">
        <f>Sheet1!G771</f>
        <v>0</v>
      </c>
      <c r="G771" s="4" t="str">
        <f>Sheet1!J771</f>
        <v>VijayagamaPasgodaMatara</v>
      </c>
      <c r="H771" s="5" t="str">
        <f t="shared" si="3"/>
        <v xml:space="preserve"> View Map </v>
      </c>
    </row>
    <row r="772" spans="2:8" x14ac:dyDescent="0.2">
      <c r="B772" s="4" t="str">
        <f>PROPER(Sheet1!$B772&amp;" "&amp;"Tea Factory")</f>
        <v>Gawarakelle  Tea Factory</v>
      </c>
      <c r="F772" s="4" t="str">
        <f>Sheet1!G772</f>
        <v>Pupula</v>
      </c>
      <c r="G772" s="4" t="str">
        <f>Sheet1!J772</f>
        <v>Gowerakelle EstateDemodara</v>
      </c>
      <c r="H772" s="5" t="str">
        <f t="shared" si="3"/>
        <v xml:space="preserve"> View Map </v>
      </c>
    </row>
    <row r="773" spans="2:8" x14ac:dyDescent="0.2">
      <c r="B773" s="4" t="str">
        <f>PROPER(Sheet1!$B773&amp;" "&amp;"Tea Factory")</f>
        <v>Dehigama  Tea Factory</v>
      </c>
      <c r="F773" s="4">
        <f>Sheet1!G773</f>
        <v>0</v>
      </c>
      <c r="G773" s="4" t="str">
        <f>Sheet1!J773</f>
        <v>Dehigama EstateMurutalawa</v>
      </c>
      <c r="H773" s="5" t="str">
        <f t="shared" si="3"/>
        <v xml:space="preserve"> View Map </v>
      </c>
    </row>
    <row r="774" spans="2:8" x14ac:dyDescent="0.2">
      <c r="B774" s="4" t="str">
        <f>PROPER(Sheet1!$B774&amp;" "&amp;"Tea Factory")</f>
        <v>Agilma Tea Factory</v>
      </c>
      <c r="F774" s="4">
        <f>Sheet1!G774</f>
        <v>0</v>
      </c>
      <c r="G774" s="4" t="str">
        <f>Sheet1!J774</f>
        <v>Shanthi LaneElpitiya</v>
      </c>
      <c r="H774" s="5" t="str">
        <f t="shared" si="3"/>
        <v xml:space="preserve"> View Map </v>
      </c>
    </row>
    <row r="775" spans="2:8" x14ac:dyDescent="0.2">
      <c r="B775" s="4" t="str">
        <f>PROPER(Sheet1!$B775&amp;" "&amp;"Tea Factory")</f>
        <v>Jayasinghe Tea Factory</v>
      </c>
      <c r="F775" s="4" t="str">
        <f>Sheet1!G775</f>
        <v>Batuwangala</v>
      </c>
      <c r="G775" s="4" t="str">
        <f>Sheet1!J775</f>
        <v>Batuwangala,Neluwa.</v>
      </c>
      <c r="H775" s="5" t="str">
        <f t="shared" si="3"/>
        <v xml:space="preserve"> View Map </v>
      </c>
    </row>
    <row r="776" spans="2:8" x14ac:dyDescent="0.2">
      <c r="B776" s="4" t="str">
        <f>PROPER(Sheet1!$B776&amp;" "&amp;"Tea Factory")</f>
        <v>Rozella Tea Factory</v>
      </c>
      <c r="F776" s="4">
        <f>Sheet1!G776</f>
        <v>0</v>
      </c>
      <c r="G776" s="4" t="str">
        <f>Sheet1!J776</f>
        <v>Ambagamuwa KoraleNuwara Eliya</v>
      </c>
      <c r="H776" s="5" t="str">
        <f t="shared" si="3"/>
        <v xml:space="preserve"> View Map </v>
      </c>
    </row>
    <row r="777" spans="2:8" x14ac:dyDescent="0.2">
      <c r="B777" s="4" t="str">
        <f>PROPER(Sheet1!$B777&amp;" "&amp;"Tea Factory")</f>
        <v>New Baddegama  Tea Factory</v>
      </c>
      <c r="F777" s="4">
        <f>Sheet1!G777</f>
        <v>0</v>
      </c>
      <c r="G777" s="4" t="str">
        <f>Sheet1!J777</f>
        <v>Baddegama,Tawalantenne via,Baddegama.</v>
      </c>
      <c r="H777" s="5" t="str">
        <f t="shared" si="3"/>
        <v xml:space="preserve"> View Map </v>
      </c>
    </row>
    <row r="778" spans="2:8" x14ac:dyDescent="0.2">
      <c r="B778" s="4" t="str">
        <f>PROPER(Sheet1!$B778&amp;" "&amp;"Tea Factory")</f>
        <v>Athuraliya Tea Factory</v>
      </c>
      <c r="F778" s="4">
        <f>Sheet1!G778</f>
        <v>0</v>
      </c>
      <c r="G778" s="4" t="str">
        <f>Sheet1!J778</f>
        <v>Athuraliya,Akuressa,Matara.</v>
      </c>
      <c r="H778" s="5" t="str">
        <f t="shared" si="3"/>
        <v xml:space="preserve"> View Map </v>
      </c>
    </row>
    <row r="779" spans="2:8" x14ac:dyDescent="0.2">
      <c r="B779" s="4" t="str">
        <f>PROPER(Sheet1!$B779&amp;" "&amp;"Tea Factory")</f>
        <v>Geekiyanahena  Tea Factory</v>
      </c>
      <c r="F779" s="4" t="str">
        <f>Sheet1!G779</f>
        <v>Sanasgama</v>
      </c>
      <c r="G779" s="4" t="str">
        <f>Sheet1!J779</f>
        <v>Sanasgama,Lellopitiya.</v>
      </c>
      <c r="H779" s="5" t="str">
        <f t="shared" si="3"/>
        <v xml:space="preserve"> View Map </v>
      </c>
    </row>
    <row r="780" spans="2:8" x14ac:dyDescent="0.2">
      <c r="B780" s="4" t="str">
        <f>PROPER(Sheet1!$B780&amp;" "&amp;"Tea Factory")</f>
        <v>Kanrich Tea Factory</v>
      </c>
      <c r="F780" s="4" t="str">
        <f>Sheet1!G780</f>
        <v>Horagoda</v>
      </c>
      <c r="G780" s="4" t="str">
        <f>Sheet1!J780</f>
        <v>Horagoda Rd, HenegamaAkuressa</v>
      </c>
      <c r="H780" s="5" t="str">
        <f t="shared" si="3"/>
        <v xml:space="preserve"> View Map </v>
      </c>
    </row>
    <row r="781" spans="2:8" x14ac:dyDescent="0.2">
      <c r="B781" s="4" t="str">
        <f>PROPER(Sheet1!$B781&amp;" "&amp;"Tea Factory")</f>
        <v>Ahinsa Tea Factory</v>
      </c>
      <c r="F781" s="4" t="str">
        <f>Sheet1!G781</f>
        <v>Millawa</v>
      </c>
      <c r="G781" s="4" t="str">
        <f>Sheet1!J781</f>
        <v>Ihala Millawa,Morawaka.</v>
      </c>
      <c r="H781" s="5" t="str">
        <f t="shared" si="3"/>
        <v xml:space="preserve"> View Map </v>
      </c>
    </row>
    <row r="782" spans="2:8" x14ac:dyDescent="0.2">
      <c r="B782" s="4" t="str">
        <f>PROPER(Sheet1!$B782&amp;" "&amp;"Tea Factory")</f>
        <v>Co-Op Cola Tea Factory</v>
      </c>
      <c r="F782" s="4" t="str">
        <f>Sheet1!G782</f>
        <v>Dehigaspe</v>
      </c>
      <c r="G782" s="4" t="str">
        <f>Sheet1!J782</f>
        <v>Deniyaya RoadKotapola</v>
      </c>
      <c r="H782" s="5" t="str">
        <f t="shared" si="3"/>
        <v xml:space="preserve"> View Map </v>
      </c>
    </row>
    <row r="783" spans="2:8" x14ac:dyDescent="0.2">
      <c r="B783" s="4" t="str">
        <f>PROPER(Sheet1!$B783&amp;" "&amp;"Tea Factory")</f>
        <v>Parakaduwa Tea Factory</v>
      </c>
      <c r="F783" s="4" t="str">
        <f>Sheet1!G783</f>
        <v>Paluwatta</v>
      </c>
      <c r="G783" s="4" t="str">
        <f>Sheet1!J783</f>
        <v>Subhodhi Mawatha,Parakaduwa.</v>
      </c>
      <c r="H783" s="5" t="str">
        <f t="shared" si="3"/>
        <v xml:space="preserve"> View Map </v>
      </c>
    </row>
    <row r="784" spans="2:8" x14ac:dyDescent="0.2">
      <c r="B784" s="4" t="str">
        <f>PROPER(Sheet1!$B784&amp;" "&amp;"Tea Factory")</f>
        <v>Lucky Weerapana Tea Factory</v>
      </c>
      <c r="F784" s="4" t="str">
        <f>Sheet1!G784</f>
        <v>Weerapana</v>
      </c>
      <c r="G784" s="4" t="str">
        <f>Sheet1!J784</f>
        <v>WeerapanaOpatha</v>
      </c>
      <c r="H784" s="5" t="str">
        <f t="shared" si="3"/>
        <v xml:space="preserve"> View Map </v>
      </c>
    </row>
    <row r="785" spans="2:8" x14ac:dyDescent="0.2">
      <c r="B785" s="4" t="str">
        <f>PROPER(Sheet1!$B785&amp;" "&amp;"Tea Factory")</f>
        <v>Kirimetiya Tea Factory</v>
      </c>
      <c r="F785" s="4">
        <f>Sheet1!G785</f>
        <v>0</v>
      </c>
      <c r="G785" s="4" t="str">
        <f>Sheet1!J785</f>
        <v>PottepitiyaMenikdiwela</v>
      </c>
      <c r="H785" s="5" t="str">
        <f t="shared" si="3"/>
        <v xml:space="preserve"> View Map </v>
      </c>
    </row>
    <row r="786" spans="2:8" x14ac:dyDescent="0.2">
      <c r="B786" s="4" t="str">
        <f>PROPER(Sheet1!$B786&amp;" "&amp;"Tea Factory")</f>
        <v>James Valley Tea Factory</v>
      </c>
      <c r="F786" s="4">
        <f>Sheet1!G786</f>
        <v>0</v>
      </c>
      <c r="G786" s="4" t="str">
        <f>Sheet1!J786</f>
        <v>New GurukelleDoluwaGampola</v>
      </c>
      <c r="H786" s="5" t="str">
        <f t="shared" si="3"/>
        <v xml:space="preserve"> View Map </v>
      </c>
    </row>
    <row r="787" spans="2:8" x14ac:dyDescent="0.2">
      <c r="B787" s="4" t="str">
        <f>PROPER(Sheet1!$B787&amp;" "&amp;"Tea Factory")</f>
        <v>Udayakanda Tea Factory</v>
      </c>
      <c r="F787" s="4">
        <f>Sheet1!G787</f>
        <v>0</v>
      </c>
      <c r="G787" s="4" t="str">
        <f>Sheet1!J787</f>
        <v>184 BKandy RoadWelamboda</v>
      </c>
      <c r="H787" s="5" t="str">
        <f t="shared" si="3"/>
        <v xml:space="preserve"> View Map </v>
      </c>
    </row>
    <row r="788" spans="2:8" x14ac:dyDescent="0.2">
      <c r="B788" s="4" t="str">
        <f>PROPER(Sheet1!$B788&amp;" "&amp;"Tea Factory")</f>
        <v>Ambrosia Uva  Tea Factory</v>
      </c>
      <c r="F788" s="4">
        <f>Sheet1!G788</f>
        <v>0</v>
      </c>
      <c r="G788" s="4" t="str">
        <f>Sheet1!J788</f>
        <v>No 1Moragalle RoadWelimada</v>
      </c>
      <c r="H788" s="5" t="str">
        <f t="shared" si="3"/>
        <v xml:space="preserve"> View Map </v>
      </c>
    </row>
    <row r="789" spans="2:8" x14ac:dyDescent="0.2">
      <c r="B789" s="4" t="str">
        <f>PROPER(Sheet1!$B789&amp;" "&amp;"Tea Factory")</f>
        <v>Seetha Valley Tea Factory</v>
      </c>
      <c r="F789" s="4" t="str">
        <f>Sheet1!G789</f>
        <v>NULL</v>
      </c>
      <c r="G789" s="4" t="str">
        <f>Sheet1!J789</f>
        <v>Bio-Foods Ltd, New Gurukele, Doluwa, Gampola</v>
      </c>
      <c r="H789" s="5" t="str">
        <f t="shared" si="3"/>
        <v xml:space="preserve"> View Map </v>
      </c>
    </row>
    <row r="790" spans="2:8" x14ac:dyDescent="0.2">
      <c r="B790" s="4" t="str">
        <f>PROPER(Sheet1!$B790&amp;" "&amp;"Tea Factory")</f>
        <v>Hiniduma Hills Tea Factory</v>
      </c>
      <c r="F790" s="4" t="str">
        <f>Sheet1!G790</f>
        <v>Thawalama North</v>
      </c>
      <c r="G790" s="4" t="str">
        <f>Sheet1!J790</f>
        <v>Thawalama</v>
      </c>
      <c r="H790" s="5" t="str">
        <f t="shared" si="3"/>
        <v xml:space="preserve"> View Map </v>
      </c>
    </row>
    <row r="791" spans="2:8" x14ac:dyDescent="0.2">
      <c r="B791" s="4" t="str">
        <f>PROPER(Sheet1!$B791&amp;" "&amp;"Tea Factory")</f>
        <v>Gangani Tea Factory</v>
      </c>
      <c r="F791" s="4" t="str">
        <f>Sheet1!G791</f>
        <v>Kanontudawa</v>
      </c>
      <c r="G791" s="4" t="str">
        <f>Sheet1!J791</f>
        <v>Balfolocewatte, Kannanthudawa,Haltota.</v>
      </c>
      <c r="H791" s="5" t="str">
        <f t="shared" si="3"/>
        <v xml:space="preserve"> View Map </v>
      </c>
    </row>
    <row r="792" spans="2:8" x14ac:dyDescent="0.2">
      <c r="B792" s="4" t="str">
        <f>PROPER(Sheet1!$B792&amp;" "&amp;"Tea Factory")</f>
        <v>Misa Tea Factory</v>
      </c>
      <c r="F792" s="4">
        <f>Sheet1!G792</f>
        <v>0</v>
      </c>
      <c r="G792" s="4" t="str">
        <f>Sheet1!J792</f>
        <v>GonagamuwaYatiyanthotaKegalle</v>
      </c>
      <c r="H792" s="5" t="str">
        <f t="shared" si="3"/>
        <v xml:space="preserve"> View Map </v>
      </c>
    </row>
    <row r="793" spans="2:8" x14ac:dyDescent="0.2">
      <c r="B793" s="4" t="str">
        <f>PROPER(Sheet1!$B793&amp;" "&amp;"Tea Factory")</f>
        <v>Greenwin Tea Factory</v>
      </c>
      <c r="F793" s="4">
        <f>Sheet1!G793</f>
        <v>0</v>
      </c>
      <c r="G793" s="4" t="str">
        <f>Sheet1!J793</f>
        <v>No 34/8, Wandurabagewattha,Narawala,Poddala</v>
      </c>
      <c r="H793" s="5" t="str">
        <f t="shared" si="3"/>
        <v xml:space="preserve"> View Map </v>
      </c>
    </row>
    <row r="794" spans="2:8" x14ac:dyDescent="0.2">
      <c r="B794" s="4" t="str">
        <f>PROPER(Sheet1!$B794&amp;" "&amp;"Tea Factory")</f>
        <v>Kumudu Tea Factory</v>
      </c>
      <c r="F794" s="4">
        <f>Sheet1!G794</f>
        <v>0</v>
      </c>
      <c r="G794" s="4" t="str">
        <f>Sheet1!J794</f>
        <v>Miriswatta,Iththepana.</v>
      </c>
      <c r="H794" s="5" t="str">
        <f t="shared" si="3"/>
        <v xml:space="preserve"> View Map </v>
      </c>
    </row>
    <row r="795" spans="2:8" x14ac:dyDescent="0.2">
      <c r="B795" s="4" t="str">
        <f>PROPER(Sheet1!$B795&amp;" "&amp;"Tea Factory")</f>
        <v>Kolonne Panapitiya Tea Factory</v>
      </c>
      <c r="F795" s="4" t="str">
        <f>Sheet1!G795</f>
        <v>panapitiya</v>
      </c>
      <c r="G795" s="4" t="str">
        <f>Sheet1!J795</f>
        <v>Panapitiya, Ampagala</v>
      </c>
      <c r="H795" s="5" t="str">
        <f t="shared" si="3"/>
        <v xml:space="preserve"> View Map </v>
      </c>
    </row>
    <row r="796" spans="2:8" x14ac:dyDescent="0.2">
      <c r="B796" s="4" t="str">
        <f>PROPER(Sheet1!$B796&amp;" "&amp;"Tea Factory")</f>
        <v>Luckymeegahathenna Tea Factory</v>
      </c>
      <c r="F796" s="4" t="str">
        <f>Sheet1!G796</f>
        <v>Katukele</v>
      </c>
      <c r="G796" s="4" t="str">
        <f>Sheet1!J796</f>
        <v>WelmeegodaMeegahathenna</v>
      </c>
      <c r="H796" s="5" t="str">
        <f t="shared" si="3"/>
        <v xml:space="preserve"> View Map </v>
      </c>
    </row>
    <row r="797" spans="2:8" x14ac:dyDescent="0.2">
      <c r="B797" s="4" t="str">
        <f>PROPER(Sheet1!$B797&amp;" "&amp;"Tea Factory")</f>
        <v>Talapalakanda Tea Factory</v>
      </c>
      <c r="F797" s="4">
        <f>Sheet1!G797</f>
        <v>0</v>
      </c>
      <c r="G797" s="4" t="str">
        <f>Sheet1!J797</f>
        <v>Thalapalakanda,Beralapanathara.</v>
      </c>
      <c r="H797" s="5" t="str">
        <f t="shared" si="3"/>
        <v xml:space="preserve"> View Map </v>
      </c>
    </row>
    <row r="798" spans="2:8" x14ac:dyDescent="0.2">
      <c r="B798" s="4" t="str">
        <f>PROPER(Sheet1!$B798&amp;" "&amp;"Tea Factory")</f>
        <v>Passara Tea Shakthi Tea Factory</v>
      </c>
      <c r="F798" s="4" t="str">
        <f>Sheet1!G798</f>
        <v>Talabowatte</v>
      </c>
      <c r="G798" s="4" t="str">
        <f>Sheet1!J798</f>
        <v>Talabowatte,Passara.</v>
      </c>
      <c r="H798" s="5" t="str">
        <f t="shared" si="3"/>
        <v xml:space="preserve"> View Map </v>
      </c>
    </row>
    <row r="799" spans="2:8" x14ac:dyDescent="0.2">
      <c r="B799" s="4" t="str">
        <f>PROPER(Sheet1!$B799&amp;" "&amp;"Tea Factory")</f>
        <v>Lucky Hiniduma Tea Factory</v>
      </c>
      <c r="F799" s="4">
        <f>Sheet1!G799</f>
        <v>0</v>
      </c>
      <c r="G799" s="4" t="str">
        <f>Sheet1!J799</f>
        <v>Newathimulla, Hiniduma.</v>
      </c>
      <c r="H799" s="5" t="str">
        <f t="shared" si="3"/>
        <v xml:space="preserve"> View Map </v>
      </c>
    </row>
    <row r="800" spans="2:8" x14ac:dyDescent="0.2">
      <c r="B800" s="4" t="str">
        <f>PROPER(Sheet1!$B800&amp;" "&amp;"Tea Factory")</f>
        <v>Guayapi Lanka Tea Factory</v>
      </c>
      <c r="F800" s="4">
        <f>Sheet1!G800</f>
        <v>0</v>
      </c>
      <c r="G800" s="4" t="str">
        <f>Sheet1!J800</f>
        <v>Mausawatte, Pundalu Oya.</v>
      </c>
      <c r="H800" s="5" t="str">
        <f t="shared" si="3"/>
        <v xml:space="preserve"> View Map </v>
      </c>
    </row>
    <row r="801" spans="2:8" x14ac:dyDescent="0.2">
      <c r="B801" s="4" t="str">
        <f>PROPER(Sheet1!$B801&amp;" "&amp;"Tea Factory")</f>
        <v>Ayagama  Tea Factory</v>
      </c>
      <c r="F801" s="4">
        <f>Sheet1!G801</f>
        <v>0</v>
      </c>
      <c r="G801" s="4" t="str">
        <f>Sheet1!J801</f>
        <v>Kodikara Panguwa,Paragala,AyagamaRatnapura</v>
      </c>
      <c r="H801" s="5" t="str">
        <f t="shared" si="3"/>
        <v xml:space="preserve"> View Map </v>
      </c>
    </row>
    <row r="802" spans="2:8" x14ac:dyDescent="0.2">
      <c r="B802" s="4" t="str">
        <f>PROPER(Sheet1!$B802&amp;" "&amp;"Tea Factory")</f>
        <v>Neluwa Thiniyawala Tea Factory</v>
      </c>
      <c r="F802" s="4" t="str">
        <f>Sheet1!G802</f>
        <v>Thiniyawala</v>
      </c>
      <c r="G802" s="4" t="str">
        <f>Sheet1!J802</f>
        <v>14th Mile Post,Pelawatte Road,Thiniyawala.</v>
      </c>
      <c r="H802" s="5" t="str">
        <f t="shared" si="3"/>
        <v xml:space="preserve"> View Map </v>
      </c>
    </row>
    <row r="803" spans="2:8" x14ac:dyDescent="0.2">
      <c r="B803" s="4" t="str">
        <f>PROPER(Sheet1!$B803&amp;" "&amp;"Tea Factory")</f>
        <v>S.L.S Tea Factory</v>
      </c>
      <c r="F803" s="4" t="str">
        <f>Sheet1!G803</f>
        <v>Higgoda</v>
      </c>
      <c r="G803" s="4" t="str">
        <f>Sheet1!J803</f>
        <v>Malani Watte,Hikgoda,Akuressa.</v>
      </c>
      <c r="H803" s="5" t="str">
        <f t="shared" si="3"/>
        <v xml:space="preserve"> View Map </v>
      </c>
    </row>
    <row r="804" spans="2:8" x14ac:dyDescent="0.2">
      <c r="B804" s="4" t="str">
        <f>PROPER(Sheet1!$B804&amp;" "&amp;"Tea Factory")</f>
        <v>Seranya Tea Factory</v>
      </c>
      <c r="F804" s="4" t="str">
        <f>Sheet1!G804</f>
        <v>Modaragoda</v>
      </c>
      <c r="G804" s="4" t="str">
        <f>Sheet1!J804</f>
        <v>Walpola,Imaduwa,Galle.</v>
      </c>
      <c r="H804" s="5" t="str">
        <f t="shared" si="3"/>
        <v xml:space="preserve"> View Map </v>
      </c>
    </row>
    <row r="805" spans="2:8" x14ac:dyDescent="0.2">
      <c r="B805" s="4" t="str">
        <f>PROPER(Sheet1!$B805&amp;" "&amp;"Tea Factory")</f>
        <v>Awonlea Hill  Tea Factory</v>
      </c>
      <c r="F805" s="4" t="str">
        <f>Sheet1!G805</f>
        <v>Pahala Kadugannawa</v>
      </c>
      <c r="G805" s="4" t="str">
        <f>Sheet1!J805</f>
        <v>Kapuwatte PatanaPahala Kadirugamuwa</v>
      </c>
      <c r="H805" s="5" t="str">
        <f t="shared" si="3"/>
        <v xml:space="preserve"> View Map </v>
      </c>
    </row>
    <row r="806" spans="2:8" x14ac:dyDescent="0.2">
      <c r="B806" s="4" t="str">
        <f>PROPER(Sheet1!$B806&amp;" "&amp;"Tea Factory")</f>
        <v>Andaradeniya Tea Factory</v>
      </c>
      <c r="F806" s="4">
        <f>Sheet1!G806</f>
        <v>0</v>
      </c>
      <c r="G806" s="4" t="str">
        <f>Sheet1!J806</f>
        <v>C/o Batuwangala Tea FactoryMorawaka Rd.LelwalaNeluwa</v>
      </c>
      <c r="H806" s="5" t="str">
        <f t="shared" si="3"/>
        <v xml:space="preserve"> View Map </v>
      </c>
    </row>
    <row r="807" spans="2:8" x14ac:dyDescent="0.2">
      <c r="B807" s="4" t="str">
        <f>PROPER(Sheet1!$B807&amp;" "&amp;"Tea Factory")</f>
        <v>Samrin Tea Factory</v>
      </c>
      <c r="F807" s="4">
        <f>Sheet1!G807</f>
        <v>0</v>
      </c>
      <c r="G807" s="4" t="str">
        <f>Sheet1!J807</f>
        <v>Pahala Thellmbura,Yakkalamulla,Galle.</v>
      </c>
      <c r="H807" s="5" t="str">
        <f t="shared" si="3"/>
        <v xml:space="preserve"> View Map </v>
      </c>
    </row>
    <row r="808" spans="2:8" x14ac:dyDescent="0.2">
      <c r="B808" s="4" t="str">
        <f>PROPER(Sheet1!$B808&amp;" "&amp;"Tea Factory")</f>
        <v>Hedigalla Tea Factory</v>
      </c>
      <c r="F808" s="4">
        <f>Sheet1!G808</f>
        <v>0</v>
      </c>
      <c r="G808" s="4" t="str">
        <f>Sheet1!J808</f>
        <v>MellagahawilaHadigallaBaduraliya</v>
      </c>
      <c r="H808" s="5" t="str">
        <f t="shared" si="3"/>
        <v xml:space="preserve"> View Map </v>
      </c>
    </row>
    <row r="809" spans="2:8" x14ac:dyDescent="0.2">
      <c r="B809" s="4" t="str">
        <f>PROPER(Sheet1!$B809&amp;" "&amp;"Tea Factory")</f>
        <v>Liyonta Tea Factory</v>
      </c>
      <c r="F809" s="4">
        <f>Sheet1!G809</f>
        <v>0</v>
      </c>
      <c r="G809" s="4" t="str">
        <f>Sheet1!J809</f>
        <v>Dangala,Alapaladeniya.</v>
      </c>
      <c r="H809" s="5" t="str">
        <f t="shared" si="3"/>
        <v xml:space="preserve"> View Map </v>
      </c>
    </row>
    <row r="810" spans="2:8" x14ac:dyDescent="0.2">
      <c r="B810" s="4" t="str">
        <f>PROPER(Sheet1!$B810&amp;" "&amp;"Tea Factory")</f>
        <v>Rambukkana Tea Factory</v>
      </c>
      <c r="F810" s="4">
        <f>Sheet1!G810</f>
        <v>0</v>
      </c>
      <c r="G810" s="4" t="str">
        <f>Sheet1!J810</f>
        <v>DaluggalaRambukkanaKegalle</v>
      </c>
      <c r="H810" s="5" t="str">
        <f t="shared" si="3"/>
        <v xml:space="preserve"> View Map </v>
      </c>
    </row>
    <row r="811" spans="2:8" x14ac:dyDescent="0.2">
      <c r="B811" s="4" t="str">
        <f>PROPER(Sheet1!$B811&amp;" "&amp;"Tea Factory")</f>
        <v>Makandura Tea Factory</v>
      </c>
      <c r="F811" s="4">
        <f>Sheet1!G811</f>
        <v>0</v>
      </c>
      <c r="G811" s="4" t="str">
        <f>Sheet1!J811</f>
        <v>Beragama NorthMulatiyanaMatara</v>
      </c>
      <c r="H811" s="5" t="str">
        <f t="shared" si="3"/>
        <v xml:space="preserve"> View Map </v>
      </c>
    </row>
    <row r="812" spans="2:8" x14ac:dyDescent="0.2">
      <c r="B812" s="4" t="str">
        <f>PROPER(Sheet1!$B812&amp;" "&amp;"Tea Factory")</f>
        <v>Suviska  Tea Factory</v>
      </c>
      <c r="F812" s="4">
        <f>Sheet1!G812</f>
        <v>0</v>
      </c>
      <c r="G812" s="4" t="str">
        <f>Sheet1!J812</f>
        <v>Suviska Co.(Pvt) LtdMawananaNeluwa</v>
      </c>
      <c r="H812" s="5" t="str">
        <f t="shared" si="3"/>
        <v xml:space="preserve"> View Map </v>
      </c>
    </row>
    <row r="813" spans="2:8" x14ac:dyDescent="0.2">
      <c r="B813" s="4" t="str">
        <f>PROPER(Sheet1!$B813&amp;" "&amp;"Tea Factory")</f>
        <v>Ranmeer Tea Factory</v>
      </c>
      <c r="F813" s="4" t="str">
        <f>Sheet1!G813</f>
        <v>Thawalama</v>
      </c>
      <c r="G813" s="4" t="str">
        <f>Sheet1!J813</f>
        <v>Ela Ehala,Thawalama South,Galle.</v>
      </c>
      <c r="H813" s="5" t="str">
        <f t="shared" si="3"/>
        <v xml:space="preserve"> View Map </v>
      </c>
    </row>
    <row r="814" spans="2:8" x14ac:dyDescent="0.2">
      <c r="B814" s="4" t="str">
        <f>PROPER(Sheet1!$B814&amp;" "&amp;"Tea Factory")</f>
        <v>Paradise Tea Factory</v>
      </c>
      <c r="F814" s="4">
        <f>Sheet1!G814</f>
        <v>0</v>
      </c>
      <c r="G814" s="4" t="str">
        <f>Sheet1!J814</f>
        <v>Thaligama,Yatitantita.</v>
      </c>
      <c r="H814" s="5" t="str">
        <f t="shared" si="3"/>
        <v xml:space="preserve"> View Map </v>
      </c>
    </row>
    <row r="815" spans="2:8" x14ac:dyDescent="0.2">
      <c r="B815" s="4" t="str">
        <f>PROPER(Sheet1!$B815&amp;" "&amp;"Tea Factory")</f>
        <v>Galahitiya Tea Factory</v>
      </c>
      <c r="F815" s="4">
        <f>Sheet1!G815</f>
        <v>0</v>
      </c>
      <c r="G815" s="4" t="str">
        <f>Sheet1!J815</f>
        <v>Pussella,Parakaduwa.</v>
      </c>
      <c r="H815" s="5" t="str">
        <f t="shared" si="3"/>
        <v xml:space="preserve"> View Map </v>
      </c>
    </row>
    <row r="816" spans="2:8" x14ac:dyDescent="0.2">
      <c r="B816" s="4" t="str">
        <f>PROPER(Sheet1!$B816&amp;" "&amp;"Tea Factory")</f>
        <v>Sisiramba  Tea Factory</v>
      </c>
      <c r="F816" s="4">
        <f>Sheet1!G816</f>
        <v>0</v>
      </c>
      <c r="G816" s="4" t="str">
        <f>Sheet1!J816</f>
        <v>Udadelwala,Delwala,Ratnapura.</v>
      </c>
      <c r="H816" s="5" t="str">
        <f t="shared" si="3"/>
        <v xml:space="preserve"> View Map </v>
      </c>
    </row>
    <row r="817" spans="2:8" x14ac:dyDescent="0.2">
      <c r="B817" s="4" t="str">
        <f>PROPER(Sheet1!$B817&amp;" "&amp;"Tea Factory")</f>
        <v>New Spring View Tea Factory</v>
      </c>
      <c r="F817" s="4">
        <f>Sheet1!G817</f>
        <v>0</v>
      </c>
      <c r="G817" s="4" t="str">
        <f>Sheet1!J817</f>
        <v>Maswatte Road,WelimaluwaRatnapura</v>
      </c>
      <c r="H817" s="5" t="str">
        <f t="shared" si="3"/>
        <v xml:space="preserve"> View Map </v>
      </c>
    </row>
    <row r="818" spans="2:8" x14ac:dyDescent="0.2">
      <c r="B818" s="4" t="str">
        <f>PROPER(Sheet1!$B818&amp;" "&amp;"Tea Factory")</f>
        <v>Daduwangala Ctc Tea Factory</v>
      </c>
      <c r="F818" s="4">
        <f>Sheet1!G818</f>
        <v>0</v>
      </c>
      <c r="G818" s="4" t="str">
        <f>Sheet1!J818</f>
        <v>Millavitiya,Kuruwita.</v>
      </c>
      <c r="H818" s="5" t="str">
        <f t="shared" si="3"/>
        <v xml:space="preserve"> View Map </v>
      </c>
    </row>
    <row r="819" spans="2:8" x14ac:dyDescent="0.2">
      <c r="B819" s="4" t="str">
        <f>PROPER(Sheet1!$B819&amp;" "&amp;"Tea Factory")</f>
        <v>Arambegama Tea Factory</v>
      </c>
      <c r="F819" s="4">
        <f>Sheet1!G819</f>
        <v>0</v>
      </c>
      <c r="G819" s="4">
        <f>Sheet1!J819</f>
        <v>0</v>
      </c>
      <c r="H819" s="5" t="str">
        <f t="shared" si="3"/>
        <v xml:space="preserve"> View Map </v>
      </c>
    </row>
    <row r="820" spans="2:8" x14ac:dyDescent="0.2">
      <c r="B820" s="4" t="str">
        <f>PROPER(Sheet1!$B820&amp;" "&amp;"Tea Factory")</f>
        <v>Deenside Tea Factory</v>
      </c>
      <c r="F820" s="4">
        <f>Sheet1!G820</f>
        <v>0</v>
      </c>
      <c r="G820" s="4" t="str">
        <f>Sheet1!J820</f>
        <v>DeensideKadugannawa Road,Gampola</v>
      </c>
      <c r="H820" s="5" t="str">
        <f t="shared" si="3"/>
        <v xml:space="preserve"> View Map </v>
      </c>
    </row>
    <row r="821" spans="2:8" x14ac:dyDescent="0.2">
      <c r="B821" s="4" t="str">
        <f>PROPER(Sheet1!$B821&amp;" "&amp;"Tea Factory")</f>
        <v>Nanuoya Tea Factory</v>
      </c>
      <c r="F821" s="4">
        <f>Sheet1!G821</f>
        <v>0</v>
      </c>
      <c r="G821" s="4" t="str">
        <f>Sheet1!J821</f>
        <v>Daulagala Road,Penideniya, Peradeniya.</v>
      </c>
      <c r="H821" s="5" t="str">
        <f t="shared" si="3"/>
        <v xml:space="preserve"> View Map </v>
      </c>
    </row>
    <row r="822" spans="2:8" x14ac:dyDescent="0.2">
      <c r="B822" s="4" t="str">
        <f>PROPER(Sheet1!$B822&amp;" "&amp;"Tea Factory")</f>
        <v>Watadeniya Tea Factory</v>
      </c>
      <c r="F822" s="4">
        <f>Sheet1!G822</f>
        <v>0</v>
      </c>
      <c r="G822" s="4" t="str">
        <f>Sheet1!J822</f>
        <v>Watadeniya.</v>
      </c>
      <c r="H822" s="5" t="str">
        <f t="shared" si="3"/>
        <v xml:space="preserve"> View Map </v>
      </c>
    </row>
    <row r="823" spans="2:8" x14ac:dyDescent="0.2">
      <c r="B823" s="4" t="str">
        <f>PROPER(Sheet1!$B823&amp;" "&amp;"Tea Factory")</f>
        <v>New Kirimetideniya Tea Factory</v>
      </c>
      <c r="F823" s="4" t="str">
        <f>Sheet1!G823</f>
        <v>Pahuranwila</v>
      </c>
      <c r="G823" s="4" t="str">
        <f>Sheet1!J823</f>
        <v>ParaduwaAkuressa</v>
      </c>
      <c r="H823" s="5" t="str">
        <f t="shared" si="3"/>
        <v xml:space="preserve"> View Map </v>
      </c>
    </row>
    <row r="824" spans="2:8" x14ac:dyDescent="0.2">
      <c r="B824" s="4" t="str">
        <f>PROPER(Sheet1!$B824&amp;" "&amp;"Tea Factory")</f>
        <v>Majesty Tea Factory</v>
      </c>
      <c r="F824" s="4" t="str">
        <f>Sheet1!G824</f>
        <v>Waththahena</v>
      </c>
      <c r="G824" s="4" t="str">
        <f>Sheet1!J824</f>
        <v>No: 29 F,Waththahena Village,Atabage, Delpitiya.</v>
      </c>
      <c r="H824" s="5" t="str">
        <f t="shared" si="3"/>
        <v xml:space="preserve"> View Map </v>
      </c>
    </row>
    <row r="825" spans="2:8" x14ac:dyDescent="0.2">
      <c r="B825" s="4" t="str">
        <f>PROPER(Sheet1!$B825&amp;" "&amp;"Tea Factory")</f>
        <v>Orange Field Tea Factory</v>
      </c>
      <c r="F825" s="4">
        <f>Sheet1!G825</f>
        <v>0</v>
      </c>
      <c r="G825" s="4" t="str">
        <f>Sheet1!J825</f>
        <v>Panwilatenna.Gampola</v>
      </c>
      <c r="H825" s="5" t="str">
        <f t="shared" si="3"/>
        <v xml:space="preserve"> View Map </v>
      </c>
    </row>
    <row r="826" spans="2:8" x14ac:dyDescent="0.2">
      <c r="B826" s="4" t="str">
        <f>PROPER(Sheet1!$B826&amp;" "&amp;"Tea Factory")</f>
        <v>Udakada Tea Factory</v>
      </c>
      <c r="F826" s="4">
        <f>Sheet1!G826</f>
        <v>0</v>
      </c>
      <c r="G826" s="4" t="str">
        <f>Sheet1!J826</f>
        <v>Pelmadulla.</v>
      </c>
      <c r="H826" s="5" t="str">
        <f t="shared" si="3"/>
        <v xml:space="preserve"> View Map </v>
      </c>
    </row>
    <row r="827" spans="2:8" x14ac:dyDescent="0.2">
      <c r="B827" s="4" t="str">
        <f>PROPER(Sheet1!$B827&amp;" "&amp;"Tea Factory")</f>
        <v>Hill Side Tea Factory</v>
      </c>
      <c r="F827" s="4" t="str">
        <f>Sheet1!G827</f>
        <v>Yatalamaththa</v>
      </c>
      <c r="G827" s="4" t="str">
        <f>Sheet1!J827</f>
        <v>Wanduramba.Galle</v>
      </c>
      <c r="H827" s="5" t="str">
        <f t="shared" si="3"/>
        <v xml:space="preserve"> View Map </v>
      </c>
    </row>
    <row r="828" spans="2:8" x14ac:dyDescent="0.2">
      <c r="B828" s="4" t="str">
        <f>PROPER(Sheet1!$B828&amp;" "&amp;"Tea Factory")</f>
        <v>New Weliganga  Tea Factory</v>
      </c>
      <c r="F828" s="4">
        <f>Sheet1!G828</f>
        <v>0</v>
      </c>
      <c r="G828" s="4" t="str">
        <f>Sheet1!J828</f>
        <v>Ulapane,Gampola.</v>
      </c>
      <c r="H828" s="5" t="str">
        <f t="shared" si="3"/>
        <v xml:space="preserve"> View Map </v>
      </c>
    </row>
    <row r="829" spans="2:8" x14ac:dyDescent="0.2">
      <c r="B829" s="4" t="str">
        <f>PROPER(Sheet1!$B829&amp;" "&amp;"Tea Factory")</f>
        <v>Morawakkorale Tea Factory</v>
      </c>
      <c r="F829" s="4">
        <f>Sheet1!G829</f>
        <v>0</v>
      </c>
      <c r="G829" s="4" t="str">
        <f>Sheet1!J829</f>
        <v>Kotapola,Matara.</v>
      </c>
      <c r="H829" s="5" t="str">
        <f t="shared" si="3"/>
        <v xml:space="preserve"> View Map </v>
      </c>
    </row>
    <row r="830" spans="2:8" x14ac:dyDescent="0.2">
      <c r="B830" s="4" t="str">
        <f>PROPER(Sheet1!$B830&amp;" "&amp;"Tea Factory")</f>
        <v>Jennet Valley Tea Factory</v>
      </c>
      <c r="F830" s="4">
        <f>Sheet1!G830</f>
        <v>0</v>
      </c>
      <c r="G830" s="4" t="str">
        <f>Sheet1!J830</f>
        <v>Atabage.</v>
      </c>
      <c r="H830" s="5" t="str">
        <f t="shared" si="3"/>
        <v xml:space="preserve"> View Map </v>
      </c>
    </row>
    <row r="831" spans="2:8" x14ac:dyDescent="0.2">
      <c r="B831" s="4" t="str">
        <f>PROPER(Sheet1!$B831&amp;" "&amp;"Tea Factory")</f>
        <v>Green View Tea Factory</v>
      </c>
      <c r="F831" s="4">
        <f>Sheet1!G831</f>
        <v>0</v>
      </c>
      <c r="G831" s="4" t="str">
        <f>Sheet1!J831</f>
        <v>Ginigathhena RoadRabukpitiya Nawalapitiya</v>
      </c>
      <c r="H831" s="5" t="str">
        <f t="shared" si="3"/>
        <v xml:space="preserve"> View Map </v>
      </c>
    </row>
    <row r="832" spans="2:8" x14ac:dyDescent="0.2">
      <c r="B832" s="4" t="str">
        <f>PROPER(Sheet1!$B832&amp;" "&amp;"Tea Factory")</f>
        <v>Gelioya Tea Factory</v>
      </c>
      <c r="F832" s="4">
        <f>Sheet1!G832</f>
        <v>0</v>
      </c>
      <c r="G832" s="4" t="str">
        <f>Sheet1!J832</f>
        <v>Galioya.</v>
      </c>
      <c r="H832" s="5" t="str">
        <f t="shared" si="3"/>
        <v xml:space="preserve"> View Map </v>
      </c>
    </row>
    <row r="833" spans="2:8" x14ac:dyDescent="0.2">
      <c r="B833" s="4" t="str">
        <f>PROPER(Sheet1!$B833&amp;" "&amp;"Tea Factory")</f>
        <v>Pilimathalawa Tea Factory</v>
      </c>
      <c r="F833" s="4">
        <f>Sheet1!G833</f>
        <v>0</v>
      </c>
      <c r="G833" s="4" t="str">
        <f>Sheet1!J833</f>
        <v>No.451,Colombo Road,Pilimathalawa</v>
      </c>
      <c r="H833" s="5" t="str">
        <f t="shared" si="3"/>
        <v xml:space="preserve"> View Map </v>
      </c>
    </row>
    <row r="834" spans="2:8" x14ac:dyDescent="0.2">
      <c r="B834" s="4" t="str">
        <f>PROPER(Sheet1!$B834&amp;" "&amp;"Tea Factory")</f>
        <v>Talgasyaya Tea Factory</v>
      </c>
      <c r="F834" s="4">
        <f>Sheet1!G834</f>
        <v>0</v>
      </c>
      <c r="G834" s="4" t="str">
        <f>Sheet1!J834</f>
        <v>Wadiyawatte,Narawala,Akmeemana.</v>
      </c>
      <c r="H834" s="5" t="str">
        <f t="shared" si="3"/>
        <v xml:space="preserve"> View Map </v>
      </c>
    </row>
    <row r="835" spans="2:8" x14ac:dyDescent="0.2">
      <c r="B835" s="4" t="str">
        <f>PROPER(Sheet1!$B835&amp;" "&amp;"Tea Factory")</f>
        <v>Alawattahena Tea Factory</v>
      </c>
      <c r="F835" s="4">
        <f>Sheet1!G835</f>
        <v>0</v>
      </c>
      <c r="G835" s="4">
        <f>Sheet1!J835</f>
        <v>0</v>
      </c>
      <c r="H835" s="5" t="str">
        <f t="shared" si="3"/>
        <v xml:space="preserve"> View Map </v>
      </c>
    </row>
    <row r="836" spans="2:8" x14ac:dyDescent="0.2">
      <c r="B836" s="4" t="str">
        <f>PROPER(Sheet1!$B836&amp;" "&amp;"Tea Factory")</f>
        <v>Graceland Tea Factory</v>
      </c>
      <c r="F836" s="4">
        <f>Sheet1!G836</f>
        <v>0</v>
      </c>
      <c r="G836" s="4" t="str">
        <f>Sheet1!J836</f>
        <v>Narawala,Akmeemana.</v>
      </c>
      <c r="H836" s="5" t="str">
        <f t="shared" si="3"/>
        <v xml:space="preserve"> View Map </v>
      </c>
    </row>
    <row r="837" spans="2:8" x14ac:dyDescent="0.2">
      <c r="B837" s="4" t="str">
        <f>PROPER(Sheet1!$B837&amp;" "&amp;"Tea Factory")</f>
        <v>Galpaya Tea Factory</v>
      </c>
      <c r="F837" s="4">
        <f>Sheet1!G837</f>
        <v>0</v>
      </c>
      <c r="G837" s="4" t="str">
        <f>Sheet1!J837</f>
        <v>Malwattagama,Kurunduwatta.</v>
      </c>
      <c r="H837" s="5" t="str">
        <f t="shared" si="3"/>
        <v xml:space="preserve"> View Map </v>
      </c>
    </row>
    <row r="838" spans="2:8" x14ac:dyDescent="0.2">
      <c r="B838" s="4" t="str">
        <f>PROPER(Sheet1!$B838&amp;" "&amp;"Tea Factory")</f>
        <v>Roslin Hill Tea Factory</v>
      </c>
      <c r="F838" s="4" t="str">
        <f>Sheet1!G838</f>
        <v>Hindagala</v>
      </c>
      <c r="G838" s="4" t="str">
        <f>Sheet1!J838</f>
        <v>Galaha road,Hindagala,Peradeniya</v>
      </c>
      <c r="H838" s="5" t="str">
        <f t="shared" si="3"/>
        <v xml:space="preserve"> View Map </v>
      </c>
    </row>
    <row r="839" spans="2:8" x14ac:dyDescent="0.2">
      <c r="B839" s="4" t="str">
        <f>PROPER(Sheet1!$B839&amp;" "&amp;"Tea Factory")</f>
        <v>Polhena Tea Factory</v>
      </c>
      <c r="F839" s="4">
        <f>Sheet1!G839</f>
        <v>0</v>
      </c>
      <c r="G839" s="4" t="str">
        <f>Sheet1!J839</f>
        <v>Matara.</v>
      </c>
      <c r="H839" s="5" t="str">
        <f t="shared" si="3"/>
        <v xml:space="preserve"> View Map </v>
      </c>
    </row>
    <row r="840" spans="2:8" x14ac:dyDescent="0.2">
      <c r="B840" s="4" t="str">
        <f>PROPER(Sheet1!$B840&amp;" "&amp;"Tea Factory")</f>
        <v>Pothotuwa Tea Factory</v>
      </c>
      <c r="F840" s="4">
        <f>Sheet1!G840</f>
        <v>0</v>
      </c>
      <c r="G840" s="4" t="str">
        <f>Sheet1!J840</f>
        <v>Beralapanathara</v>
      </c>
      <c r="H840" s="5" t="str">
        <f t="shared" si="3"/>
        <v xml:space="preserve"> View Map </v>
      </c>
    </row>
    <row r="841" spans="2:8" x14ac:dyDescent="0.2">
      <c r="B841" s="4" t="str">
        <f>PROPER(Sheet1!$B841&amp;" "&amp;"Tea Factory")</f>
        <v>Kunduppakanda Tea Factory</v>
      </c>
      <c r="F841" s="4">
        <f>Sheet1!G841</f>
        <v>0</v>
      </c>
      <c r="G841" s="4" t="str">
        <f>Sheet1!J841</f>
        <v>Angulugaha,Galle.</v>
      </c>
      <c r="H841" s="5" t="str">
        <f t="shared" si="3"/>
        <v xml:space="preserve"> View Map </v>
      </c>
    </row>
    <row r="842" spans="2:8" x14ac:dyDescent="0.2">
      <c r="B842" s="4" t="str">
        <f>PROPER(Sheet1!$B842&amp;" "&amp;"Tea Factory")</f>
        <v>Templevally Tea Factory</v>
      </c>
      <c r="F842" s="4">
        <f>Sheet1!G842</f>
        <v>0</v>
      </c>
      <c r="G842" s="4" t="str">
        <f>Sheet1!J842</f>
        <v>Panawenna,Kahawatte.</v>
      </c>
      <c r="H842" s="5" t="str">
        <f t="shared" si="3"/>
        <v xml:space="preserve"> View Map </v>
      </c>
    </row>
    <row r="843" spans="2:8" x14ac:dyDescent="0.2">
      <c r="B843" s="4" t="str">
        <f>PROPER(Sheet1!$B843&amp;" "&amp;"Tea Factory")</f>
        <v>Ovinrich  Tea Factory</v>
      </c>
      <c r="F843" s="4">
        <f>Sheet1!G843</f>
        <v>0</v>
      </c>
      <c r="G843" s="4" t="str">
        <f>Sheet1!J843</f>
        <v>135,Kaltota Road,Balangoda.</v>
      </c>
      <c r="H843" s="5" t="str">
        <f t="shared" si="3"/>
        <v xml:space="preserve"> View Map </v>
      </c>
    </row>
    <row r="844" spans="2:8" x14ac:dyDescent="0.2">
      <c r="B844" s="4" t="str">
        <f>PROPER(Sheet1!$B844&amp;" "&amp;"Tea Factory")</f>
        <v>Galle Gangaboda Tea Factory</v>
      </c>
      <c r="F844" s="4">
        <f>Sheet1!G844</f>
        <v>0</v>
      </c>
      <c r="G844" s="4" t="str">
        <f>Sheet1!J844</f>
        <v>Galle</v>
      </c>
      <c r="H844" s="5" t="str">
        <f t="shared" si="3"/>
        <v xml:space="preserve"> View Map </v>
      </c>
    </row>
    <row r="845" spans="2:8" x14ac:dyDescent="0.2">
      <c r="B845" s="4" t="str">
        <f>PROPER(Sheet1!$B845&amp;" "&amp;"Tea Factory")</f>
        <v>Sherwood  Tea Factory</v>
      </c>
      <c r="F845" s="4">
        <f>Sheet1!G845</f>
        <v>0</v>
      </c>
      <c r="G845" s="4" t="str">
        <f>Sheet1!J845</f>
        <v>PinnawalaBalangoda</v>
      </c>
      <c r="H845" s="5" t="str">
        <f t="shared" si="3"/>
        <v xml:space="preserve"> View Map </v>
      </c>
    </row>
    <row r="846" spans="2:8" x14ac:dyDescent="0.2">
      <c r="B846" s="4" t="str">
        <f>PROPER(Sheet1!$B846&amp;" "&amp;"Tea Factory")</f>
        <v>Nagoda Tea Factory</v>
      </c>
      <c r="F846" s="4">
        <f>Sheet1!G846</f>
        <v>0</v>
      </c>
      <c r="G846" s="4" t="str">
        <f>Sheet1!J846</f>
        <v>Dewenigewatte, Keppetiyagoda,Nagoda, Galle.</v>
      </c>
      <c r="H846" s="5" t="str">
        <f t="shared" si="3"/>
        <v xml:space="preserve"> View Map </v>
      </c>
    </row>
    <row r="847" spans="2:8" x14ac:dyDescent="0.2">
      <c r="B847" s="4" t="str">
        <f>PROPER(Sheet1!$B847&amp;" "&amp;"Tea Factory")</f>
        <v>Gangalagamuwa Tea Factory</v>
      </c>
      <c r="F847" s="4">
        <f>Sheet1!G847</f>
        <v>0</v>
      </c>
      <c r="G847" s="4" t="str">
        <f>Sheet1!J847</f>
        <v>WaddagalaKalawanaRatnapura</v>
      </c>
      <c r="H847" s="5" t="str">
        <f t="shared" si="3"/>
        <v xml:space="preserve"> View Map </v>
      </c>
    </row>
    <row r="848" spans="2:8" x14ac:dyDescent="0.2">
      <c r="B848" s="4" t="str">
        <f>PROPER(Sheet1!$B848&amp;" "&amp;"Tea Factory")</f>
        <v>Arbour Valley Tea Factory</v>
      </c>
      <c r="F848" s="4">
        <f>Sheet1!G848</f>
        <v>0</v>
      </c>
      <c r="G848" s="4" t="str">
        <f>Sheet1!J848</f>
        <v>Millagahahena GroupBeralapanathara</v>
      </c>
      <c r="H848" s="5" t="str">
        <f t="shared" si="3"/>
        <v xml:space="preserve"> View Map </v>
      </c>
    </row>
    <row r="849" spans="2:8" x14ac:dyDescent="0.2">
      <c r="B849" s="4" t="str">
        <f>PROPER(Sheet1!$B849&amp;" "&amp;"Tea Factory")</f>
        <v>Haycock Valley Tea Factory</v>
      </c>
      <c r="F849" s="4" t="str">
        <f>Sheet1!G849</f>
        <v xml:space="preserve">Panangala- west </v>
      </c>
      <c r="G849" s="4" t="str">
        <f>Sheet1!J849</f>
        <v>PanangalaThawalamaGalle</v>
      </c>
      <c r="H849" s="5" t="str">
        <f t="shared" si="3"/>
        <v xml:space="preserve"> View Map </v>
      </c>
    </row>
    <row r="850" spans="2:8" x14ac:dyDescent="0.2">
      <c r="B850" s="4" t="str">
        <f>PROPER(Sheet1!$B850&amp;" "&amp;"Tea Factory")</f>
        <v>Fairyland Tea Factory</v>
      </c>
      <c r="F850" s="4">
        <f>Sheet1!G850</f>
        <v>0</v>
      </c>
      <c r="G850" s="4" t="str">
        <f>Sheet1!J850</f>
        <v>BopagodaAkuressa</v>
      </c>
      <c r="H850" s="5" t="str">
        <f t="shared" si="3"/>
        <v xml:space="preserve"> View Map </v>
      </c>
    </row>
    <row r="851" spans="2:8" x14ac:dyDescent="0.2">
      <c r="B851" s="4" t="str">
        <f>PROPER(Sheet1!$B851&amp;" "&amp;"Tea Factory")</f>
        <v>Perusinghe Tea Factory</v>
      </c>
      <c r="F851" s="4">
        <f>Sheet1!G851</f>
        <v>0</v>
      </c>
      <c r="G851" s="4">
        <f>Sheet1!J851</f>
        <v>0</v>
      </c>
      <c r="H851" s="5" t="str">
        <f t="shared" si="3"/>
        <v xml:space="preserve"> View Map </v>
      </c>
    </row>
    <row r="852" spans="2:8" x14ac:dyDescent="0.2">
      <c r="B852" s="4" t="str">
        <f>PROPER(Sheet1!$B852&amp;" "&amp;"Tea Factory")</f>
        <v>Delgoda  Tea Factory</v>
      </c>
      <c r="F852" s="4">
        <f>Sheet1!G852</f>
        <v>0</v>
      </c>
      <c r="G852" s="4" t="str">
        <f>Sheet1!J852</f>
        <v>Delgoda Estate,Kalawana.</v>
      </c>
      <c r="H852" s="5" t="str">
        <f t="shared" si="3"/>
        <v xml:space="preserve"> View Map </v>
      </c>
    </row>
    <row r="853" spans="2:8" x14ac:dyDescent="0.2">
      <c r="B853" s="4" t="str">
        <f>PROPER(Sheet1!$B853&amp;" "&amp;"Tea Factory")</f>
        <v>Dehiwatte Tea Factory</v>
      </c>
      <c r="F853" s="4">
        <f>Sheet1!G853</f>
        <v>0</v>
      </c>
      <c r="G853" s="4" t="str">
        <f>Sheet1!J853</f>
        <v>Hapugahayatatenna,Handessa.</v>
      </c>
      <c r="H853" s="5" t="str">
        <f t="shared" si="3"/>
        <v xml:space="preserve"> View Map </v>
      </c>
    </row>
    <row r="854" spans="2:8" x14ac:dyDescent="0.2">
      <c r="B854" s="4" t="str">
        <f>PROPER(Sheet1!$B854&amp;" "&amp;"Tea Factory")</f>
        <v>Mahatenna Tea Factory</v>
      </c>
      <c r="F854" s="4">
        <f>Sheet1!G854</f>
        <v>0</v>
      </c>
      <c r="G854" s="4" t="str">
        <f>Sheet1!J854</f>
        <v>Mahatenna Watta,Yahalathanne.</v>
      </c>
      <c r="H854" s="5" t="str">
        <f t="shared" si="3"/>
        <v xml:space="preserve"> View Map </v>
      </c>
    </row>
    <row r="855" spans="2:8" x14ac:dyDescent="0.2">
      <c r="B855" s="4" t="str">
        <f>PROPER(Sheet1!$B855&amp;" "&amp;"Tea Factory")</f>
        <v>Mercantile Tea Factory</v>
      </c>
      <c r="F855" s="4" t="str">
        <f>Sheet1!G855</f>
        <v>NULL</v>
      </c>
      <c r="G855" s="4">
        <f>Sheet1!J855</f>
        <v>0</v>
      </c>
      <c r="H855" s="5" t="str">
        <f t="shared" si="3"/>
        <v xml:space="preserve"> View Map </v>
      </c>
    </row>
    <row r="856" spans="2:8" x14ac:dyDescent="0.2">
      <c r="B856" s="4" t="str">
        <f>PROPER(Sheet1!$B856&amp;" "&amp;"Tea Factory")</f>
        <v>Nildalukanda Tea Factory</v>
      </c>
      <c r="F856" s="4">
        <f>Sheet1!G856</f>
        <v>0</v>
      </c>
      <c r="G856" s="4" t="str">
        <f>Sheet1!J856</f>
        <v>Kadugannawa Road,Welamboda</v>
      </c>
      <c r="H856" s="5" t="str">
        <f t="shared" si="3"/>
        <v xml:space="preserve"> View Map </v>
      </c>
    </row>
    <row r="857" spans="2:8" x14ac:dyDescent="0.2">
      <c r="B857" s="4" t="str">
        <f>PROPER(Sheet1!$B857&amp;" "&amp;"Tea Factory")</f>
        <v>New Fernland Tea Factory</v>
      </c>
      <c r="F857" s="4" t="str">
        <f>Sheet1!G857</f>
        <v>Ulapane</v>
      </c>
      <c r="G857" s="4" t="str">
        <f>Sheet1!J857</f>
        <v>New Fernland EstateUlapane</v>
      </c>
      <c r="H857" s="5" t="str">
        <f t="shared" si="3"/>
        <v xml:space="preserve"> View Map </v>
      </c>
    </row>
    <row r="858" spans="2:8" x14ac:dyDescent="0.2">
      <c r="B858" s="4" t="str">
        <f>PROPER(Sheet1!$B858&amp;" "&amp;"Tea Factory")</f>
        <v>Wijaya  Tea Factory</v>
      </c>
      <c r="F858" s="4">
        <f>Sheet1!G858</f>
        <v>0</v>
      </c>
      <c r="G858" s="4" t="str">
        <f>Sheet1!J858</f>
        <v>Urala,Wanduramba.</v>
      </c>
      <c r="H858" s="5" t="str">
        <f t="shared" si="3"/>
        <v xml:space="preserve"> View Map </v>
      </c>
    </row>
    <row r="859" spans="2:8" x14ac:dyDescent="0.2">
      <c r="B859" s="4" t="str">
        <f>PROPER(Sheet1!$B859&amp;" "&amp;"Tea Factory")</f>
        <v>Devonia Tea Factory</v>
      </c>
      <c r="F859" s="4">
        <f>Sheet1!G859</f>
        <v>0</v>
      </c>
      <c r="G859" s="4" t="str">
        <f>Sheet1!J859</f>
        <v>GaldolaKotapola</v>
      </c>
      <c r="H859" s="5" t="str">
        <f t="shared" si="3"/>
        <v xml:space="preserve"> View Map </v>
      </c>
    </row>
    <row r="860" spans="2:8" x14ac:dyDescent="0.2">
      <c r="B860" s="4" t="str">
        <f>PROPER(Sheet1!$B860&amp;" "&amp;"Tea Factory")</f>
        <v>New Kottawa Valley Tea Factory</v>
      </c>
      <c r="F860" s="4">
        <f>Sheet1!G860</f>
        <v>0</v>
      </c>
      <c r="G860" s="4" t="str">
        <f>Sheet1!J860</f>
        <v>Udugama Road,Thalgampola,Galle.</v>
      </c>
      <c r="H860" s="5" t="str">
        <f t="shared" si="3"/>
        <v xml:space="preserve"> View Map </v>
      </c>
    </row>
    <row r="861" spans="2:8" x14ac:dyDescent="0.2">
      <c r="B861" s="4" t="str">
        <f>PROPER(Sheet1!$B861&amp;" "&amp;"Tea Factory")</f>
        <v>Ambalawa Tea Factory</v>
      </c>
      <c r="F861" s="4">
        <f>Sheet1!G861</f>
        <v>0</v>
      </c>
      <c r="G861" s="4">
        <f>Sheet1!J861</f>
        <v>0</v>
      </c>
      <c r="H861" s="5" t="str">
        <f t="shared" si="3"/>
        <v xml:space="preserve"> View Map </v>
      </c>
    </row>
    <row r="862" spans="2:8" x14ac:dyDescent="0.2">
      <c r="B862" s="4" t="str">
        <f>PROPER(Sheet1!$B862&amp;" "&amp;"Tea Factory")</f>
        <v>Rathna  Tea Factory</v>
      </c>
      <c r="F862" s="4" t="str">
        <f>Sheet1!G862</f>
        <v>Mabotuwana</v>
      </c>
      <c r="G862" s="4" t="str">
        <f>Sheet1!J862</f>
        <v>Mabotuwana,Wanduramba.</v>
      </c>
      <c r="H862" s="5" t="str">
        <f t="shared" si="3"/>
        <v xml:space="preserve"> View Map </v>
      </c>
    </row>
    <row r="863" spans="2:8" x14ac:dyDescent="0.2">
      <c r="B863" s="4" t="str">
        <f>PROPER(Sheet1!$B863&amp;" "&amp;"Tea Factory")</f>
        <v>Baduraliya Tea Factory</v>
      </c>
      <c r="F863" s="4">
        <f>Sheet1!G863</f>
        <v>0</v>
      </c>
      <c r="G863" s="4" t="str">
        <f>Sheet1!J863</f>
        <v>BaduraliyaMathugama</v>
      </c>
      <c r="H863" s="5" t="str">
        <f t="shared" si="3"/>
        <v xml:space="preserve"> View Map </v>
      </c>
    </row>
    <row r="864" spans="2:8" x14ac:dyDescent="0.2">
      <c r="B864" s="4" t="str">
        <f>PROPER(Sheet1!$B864&amp;" "&amp;"Tea Factory")</f>
        <v>Baldura Tea Factory</v>
      </c>
      <c r="F864" s="4">
        <f>Sheet1!G864</f>
        <v>0</v>
      </c>
      <c r="G864" s="4" t="str">
        <f>Sheet1!J864</f>
        <v>Kdugannawa RoadBowelaGampola</v>
      </c>
      <c r="H864" s="5" t="str">
        <f t="shared" si="3"/>
        <v xml:space="preserve"> View Map </v>
      </c>
    </row>
    <row r="865" spans="2:8" x14ac:dyDescent="0.2">
      <c r="B865" s="4" t="str">
        <f>PROPER(Sheet1!$B865&amp;" "&amp;"Tea Factory")</f>
        <v>Nilwala Tea Factory</v>
      </c>
      <c r="F865" s="4">
        <f>Sheet1!G865</f>
        <v>0</v>
      </c>
      <c r="G865" s="4" t="str">
        <f>Sheet1!J865</f>
        <v>KodikaragodaMorawaka</v>
      </c>
      <c r="H865" s="5" t="str">
        <f t="shared" si="3"/>
        <v xml:space="preserve"> View Map </v>
      </c>
    </row>
    <row r="866" spans="2:8" x14ac:dyDescent="0.2">
      <c r="B866" s="4" t="str">
        <f>PROPER(Sheet1!$B866&amp;" "&amp;"Tea Factory")</f>
        <v xml:space="preserve"> New Singhevalley Tea Factory</v>
      </c>
      <c r="F866" s="4">
        <f>Sheet1!G866</f>
        <v>0</v>
      </c>
      <c r="G866" s="4" t="str">
        <f>Sheet1!J866</f>
        <v>Opataha,Akuressa.</v>
      </c>
      <c r="H866" s="5" t="str">
        <f t="shared" si="3"/>
        <v xml:space="preserve"> View Map </v>
      </c>
    </row>
    <row r="867" spans="2:8" x14ac:dyDescent="0.2">
      <c r="B867" s="4" t="str">
        <f>PROPER(Sheet1!$B867&amp;" "&amp;"Tea Factory")</f>
        <v>Kalubowitiyana Tea Factory</v>
      </c>
      <c r="F867" s="4">
        <f>Sheet1!G867</f>
        <v>0</v>
      </c>
      <c r="G867" s="4" t="str">
        <f>Sheet1!J867</f>
        <v>Kalubowitiyana</v>
      </c>
      <c r="H867" s="5" t="str">
        <f t="shared" si="3"/>
        <v xml:space="preserve"> View Map </v>
      </c>
    </row>
    <row r="868" spans="2:8" x14ac:dyDescent="0.2">
      <c r="B868" s="4" t="str">
        <f>PROPER(Sheet1!$B868&amp;" "&amp;"Tea Factory")</f>
        <v>M J F Beverages (Pvt) Limited Tea Factory</v>
      </c>
      <c r="F868" s="4">
        <f>Sheet1!G868</f>
        <v>0</v>
      </c>
      <c r="G868" s="4" t="str">
        <f>Sheet1!J868</f>
        <v>111Negambo RoadPeliyagoda</v>
      </c>
      <c r="H868" s="5" t="str">
        <f t="shared" si="3"/>
        <v xml:space="preserve"> View Map </v>
      </c>
    </row>
    <row r="869" spans="2:8" x14ac:dyDescent="0.2">
      <c r="B869" s="4" t="str">
        <f>PROPER(Sheet1!$B869&amp;" "&amp;"Tea Factory")</f>
        <v>Asiri Tea Factory</v>
      </c>
      <c r="F869" s="4">
        <f>Sheet1!G869</f>
        <v>0</v>
      </c>
      <c r="G869" s="4" t="str">
        <f>Sheet1!J869</f>
        <v>WAHALA KANANKEWELIPITIYAAKURESSAMATARA</v>
      </c>
      <c r="H869" s="5" t="str">
        <f t="shared" si="3"/>
        <v xml:space="preserve"> View Map </v>
      </c>
    </row>
    <row r="870" spans="2:8" x14ac:dyDescent="0.2">
      <c r="B870" s="4" t="str">
        <f>PROPER(Sheet1!$B870&amp;" "&amp;"Tea Factory")</f>
        <v>H P P  Tea Factory</v>
      </c>
      <c r="F870" s="4" t="str">
        <f>Sheet1!G870</f>
        <v>MAHAMINIYANGODALLA</v>
      </c>
      <c r="G870" s="4" t="str">
        <f>Sheet1!J870</f>
        <v>MAMINIYAGODELLABULATHSINGHALA</v>
      </c>
      <c r="H870" s="5" t="str">
        <f t="shared" si="3"/>
        <v xml:space="preserve"> View Map </v>
      </c>
    </row>
    <row r="871" spans="2:8" x14ac:dyDescent="0.2">
      <c r="B871" s="4" t="str">
        <f>PROPER(Sheet1!$B871&amp;" "&amp;"Tea Factory")</f>
        <v>Aruna Tea Factory</v>
      </c>
      <c r="F871" s="4" t="str">
        <f>Sheet1!G871</f>
        <v>KUMBADUWA</v>
      </c>
      <c r="G871" s="4" t="str">
        <f>Sheet1!J871</f>
        <v>Kumbaduwa EstateKumbaduwa,Meegahathenna</v>
      </c>
      <c r="H871" s="5" t="str">
        <f t="shared" si="3"/>
        <v xml:space="preserve"> View Map </v>
      </c>
    </row>
    <row r="872" spans="2:8" x14ac:dyDescent="0.2">
      <c r="B872" s="4" t="str">
        <f>PROPER(Sheet1!$B872&amp;" "&amp;"Tea Factory")</f>
        <v>Wasantha Tea Factory</v>
      </c>
      <c r="F872" s="4" t="str">
        <f>Sheet1!G872</f>
        <v>Kevitiyagala</v>
      </c>
      <c r="G872" s="4" t="str">
        <f>Sheet1!J872</f>
        <v>Kevitiyagala North,Polgampala,Agalawatta.</v>
      </c>
      <c r="H872" s="5" t="str">
        <f t="shared" si="3"/>
        <v xml:space="preserve"> View Map </v>
      </c>
    </row>
    <row r="873" spans="2:8" x14ac:dyDescent="0.2">
      <c r="B873" s="4" t="str">
        <f>PROPER(Sheet1!$B873&amp;" "&amp;"Tea Factory")</f>
        <v>Kelani Valley Instant Tea (Pvt) Ltd Tea Factory</v>
      </c>
      <c r="F873" s="4">
        <f>Sheet1!G873</f>
        <v>0</v>
      </c>
      <c r="G873" s="4" t="str">
        <f>Sheet1!J873</f>
        <v>KUDA OYANUWARA ELIYA</v>
      </c>
      <c r="H873" s="5" t="str">
        <f t="shared" si="3"/>
        <v xml:space="preserve"> View Map </v>
      </c>
    </row>
    <row r="874" spans="2:8" x14ac:dyDescent="0.2">
      <c r="B874" s="4" t="str">
        <f>PROPER(Sheet1!$B874&amp;" "&amp;"Tea Factory")</f>
        <v>Dediyagala  Tea Factory</v>
      </c>
      <c r="F874" s="4" t="str">
        <f>Sheet1!G874</f>
        <v>DEDIYAGALA</v>
      </c>
      <c r="G874" s="4" t="str">
        <f>Sheet1!J874</f>
        <v>DediyagalaMaliduwaAkuressa</v>
      </c>
      <c r="H874" s="5" t="str">
        <f t="shared" si="3"/>
        <v xml:space="preserve"> View Map </v>
      </c>
    </row>
    <row r="875" spans="2:8" x14ac:dyDescent="0.2">
      <c r="B875" s="4" t="str">
        <f>PROPER(Sheet1!$B875&amp;" "&amp;"Tea Factory")</f>
        <v>Sudugahahena  Tea Factory</v>
      </c>
      <c r="F875" s="4" t="str">
        <f>Sheet1!G875</f>
        <v>BAMUNUGAMA, MAHALPE</v>
      </c>
      <c r="G875" s="4" t="str">
        <f>Sheet1!J875</f>
        <v>Mahalpe,Horapawita,Kamburupitiya.</v>
      </c>
      <c r="H875" s="5" t="str">
        <f t="shared" si="3"/>
        <v xml:space="preserve"> View Map </v>
      </c>
    </row>
    <row r="876" spans="2:8" x14ac:dyDescent="0.2">
      <c r="B876" s="4" t="str">
        <f>PROPER(Sheet1!$B876&amp;" "&amp;"Tea Factory")</f>
        <v>Bulathsinghala Tea Factory</v>
      </c>
      <c r="F876" s="4" t="str">
        <f>Sheet1!G876</f>
        <v>Bothalegama</v>
      </c>
      <c r="G876" s="4" t="str">
        <f>Sheet1!J876</f>
        <v>BothalegamaBulathsinhalaHorana</v>
      </c>
      <c r="H876" s="5" t="str">
        <f t="shared" si="3"/>
        <v xml:space="preserve"> View Map </v>
      </c>
    </row>
    <row r="877" spans="2:8" x14ac:dyDescent="0.2">
      <c r="B877" s="4" t="str">
        <f>PROPER(Sheet1!$B877&amp;" "&amp;"Tea Factory")</f>
        <v>New Handugala Tea Factory</v>
      </c>
      <c r="F877" s="4" t="str">
        <f>Sheet1!G877</f>
        <v>Dehigahahena</v>
      </c>
      <c r="G877" s="4" t="str">
        <f>Sheet1!J877</f>
        <v>WalasmullaHandugala</v>
      </c>
      <c r="H877" s="5" t="str">
        <f t="shared" si="3"/>
        <v xml:space="preserve"> View Map </v>
      </c>
    </row>
    <row r="878" spans="2:8" x14ac:dyDescent="0.2">
      <c r="B878" s="4" t="str">
        <f>PROPER(Sheet1!$B878&amp;" "&amp;"Tea Factory")</f>
        <v>Lihiniyawa Tea Factory</v>
      </c>
      <c r="F878" s="4" t="str">
        <f>Sheet1!G878</f>
        <v>Lihiniyawa</v>
      </c>
      <c r="G878" s="4" t="str">
        <f>Sheet1!J878</f>
        <v>Thalawa Road,Horangalla,Thalgaswela.</v>
      </c>
      <c r="H878" s="5" t="str">
        <f t="shared" si="3"/>
        <v xml:space="preserve"> View Map </v>
      </c>
    </row>
    <row r="879" spans="2:8" x14ac:dyDescent="0.2">
      <c r="B879" s="4" t="str">
        <f>PROPER(Sheet1!$B879&amp;" "&amp;"Tea Factory")</f>
        <v>Medagoda  Tea Factory</v>
      </c>
      <c r="F879" s="4">
        <f>Sheet1!G879</f>
        <v>0</v>
      </c>
      <c r="G879" s="4" t="str">
        <f>Sheet1!J879</f>
        <v>Wettakedeniya,Udahentenna,Gampola.</v>
      </c>
      <c r="H879" s="5" t="str">
        <f t="shared" si="3"/>
        <v xml:space="preserve"> View Map </v>
      </c>
    </row>
    <row r="880" spans="2:8" x14ac:dyDescent="0.2">
      <c r="B880" s="4" t="str">
        <f>PROPER(Sheet1!$B880&amp;" "&amp;"Tea Factory")</f>
        <v>Kinglynn Organic  Tea Factory</v>
      </c>
      <c r="F880" s="4">
        <f>Sheet1!G880</f>
        <v>0</v>
      </c>
      <c r="G880" s="4" t="str">
        <f>Sheet1!J880</f>
        <v>No 04, Kumudu Mawatha, Primrose GardensKandy</v>
      </c>
      <c r="H880" s="5" t="str">
        <f t="shared" si="3"/>
        <v xml:space="preserve"> View Map </v>
      </c>
    </row>
    <row r="881" spans="2:8" x14ac:dyDescent="0.2">
      <c r="B881" s="4" t="str">
        <f>PROPER(Sheet1!$B881&amp;" "&amp;"Tea Factory")</f>
        <v>Chamwin Speciality Tea Processing Centre Tea Factory</v>
      </c>
      <c r="F881" s="4" t="str">
        <f>Sheet1!G881</f>
        <v>Ratnapura</v>
      </c>
      <c r="G881" s="4" t="str">
        <f>Sheet1!J881</f>
        <v>37 ASripada MawathaRatnapura</v>
      </c>
      <c r="H881" s="5" t="str">
        <f t="shared" si="3"/>
        <v xml:space="preserve"> View Map </v>
      </c>
    </row>
    <row r="882" spans="2:8" x14ac:dyDescent="0.2">
      <c r="B882" s="4" t="str">
        <f>PROPER(Sheet1!$B882&amp;" "&amp;"Tea Factory")</f>
        <v>Woodland Tea Factory</v>
      </c>
      <c r="F882" s="4">
        <f>Sheet1!G882</f>
        <v>0</v>
      </c>
      <c r="G882" s="4" t="str">
        <f>Sheet1!J882</f>
        <v>Kiyaduwa,Akuressa.</v>
      </c>
      <c r="H882" s="5" t="str">
        <f t="shared" si="3"/>
        <v xml:space="preserve"> View Map </v>
      </c>
    </row>
    <row r="883" spans="2:8" x14ac:dyDescent="0.2">
      <c r="B883" s="4" t="str">
        <f>PROPER(Sheet1!$B883&amp;" "&amp;"Tea Factory")</f>
        <v>Four Ever Skin Naturals (Pvt) Ltd Tea Factory</v>
      </c>
      <c r="F883" s="4">
        <f>Sheet1!G883</f>
        <v>0</v>
      </c>
      <c r="G883" s="4" t="str">
        <f>Sheet1!J883</f>
        <v>1A,BOI Industrial ParkPallekelleKandy</v>
      </c>
      <c r="H883" s="5" t="str">
        <f t="shared" si="3"/>
        <v xml:space="preserve"> View Map </v>
      </c>
    </row>
    <row r="884" spans="2:8" x14ac:dyDescent="0.2">
      <c r="B884" s="4" t="str">
        <f>PROPER(Sheet1!$B884&amp;" "&amp;"Tea Factory")</f>
        <v>Miyanawathura Refuse Tea Processing          Tea Factory</v>
      </c>
      <c r="F884" s="4">
        <f>Sheet1!G884</f>
        <v>0</v>
      </c>
      <c r="G884" s="4" t="str">
        <f>Sheet1!J884</f>
        <v>Andaradeniya Estate (Pvt) LtdMorawaka RoadLelwalaNeluwa</v>
      </c>
      <c r="H884" s="5" t="str">
        <f t="shared" si="3"/>
        <v xml:space="preserve"> View Map </v>
      </c>
    </row>
    <row r="885" spans="2:8" x14ac:dyDescent="0.2">
      <c r="B885" s="4" t="str">
        <f>PROPER(Sheet1!$B885&amp;" "&amp;"Tea Factory")</f>
        <v>Kamarangapitiya Tea Factory</v>
      </c>
      <c r="F885" s="4">
        <f>Sheet1!G885</f>
        <v>0</v>
      </c>
      <c r="G885" s="4" t="str">
        <f>Sheet1!J885</f>
        <v>UdakadaPelmadullaRatnapura</v>
      </c>
      <c r="H885" s="5" t="str">
        <f t="shared" si="3"/>
        <v xml:space="preserve"> View Map </v>
      </c>
    </row>
    <row r="886" spans="2:8" x14ac:dyDescent="0.2">
      <c r="B886" s="4" t="str">
        <f>PROPER(Sheet1!$B886&amp;" "&amp;"Tea Factory")</f>
        <v>Karadana Tea Factory</v>
      </c>
      <c r="F886" s="4">
        <f>Sheet1!G886</f>
        <v>0</v>
      </c>
      <c r="G886" s="4" t="str">
        <f>Sheet1!J886</f>
        <v>Dammulla,Karadana.</v>
      </c>
      <c r="H886" s="5" t="str">
        <f t="shared" si="3"/>
        <v xml:space="preserve"> View Map </v>
      </c>
    </row>
    <row r="887" spans="2:8" x14ac:dyDescent="0.2">
      <c r="B887" s="4" t="str">
        <f>PROPER(Sheet1!$B887&amp;" "&amp;"Tea Factory")</f>
        <v>Sabaragamuwa Tea Factory</v>
      </c>
      <c r="F887" s="4">
        <f>Sheet1!G887</f>
        <v>0</v>
      </c>
      <c r="G887" s="4" t="str">
        <f>Sheet1!J887</f>
        <v>Panawatte RoadMagammanaDehiowita</v>
      </c>
      <c r="H887" s="5" t="str">
        <f t="shared" si="3"/>
        <v xml:space="preserve"> View Map </v>
      </c>
    </row>
    <row r="888" spans="2:8" x14ac:dyDescent="0.2">
      <c r="B888" s="4" t="str">
        <f>PROPER(Sheet1!$B888&amp;" "&amp;"Tea Factory")</f>
        <v>Balagala Tea Factory</v>
      </c>
      <c r="F888" s="4" t="str">
        <f>Sheet1!G888</f>
        <v>Kiyambuwa</v>
      </c>
      <c r="G888" s="4" t="str">
        <f>Sheet1!J888</f>
        <v>KiyaduwaAkuressa</v>
      </c>
      <c r="H888" s="5" t="str">
        <f t="shared" si="3"/>
        <v xml:space="preserve"> View Map </v>
      </c>
    </row>
    <row r="889" spans="2:8" x14ac:dyDescent="0.2">
      <c r="B889" s="4" t="str">
        <f>PROPER(Sheet1!$B889&amp;" "&amp;"Tea Factory")</f>
        <v>Elapatha Tea Factory</v>
      </c>
      <c r="F889" s="4">
        <f>Sheet1!G889</f>
        <v>0</v>
      </c>
      <c r="G889" s="4" t="str">
        <f>Sheet1!J889</f>
        <v>Elapatha Watta,Elapatha.</v>
      </c>
      <c r="H889" s="5" t="str">
        <f t="shared" si="3"/>
        <v xml:space="preserve"> View Map </v>
      </c>
    </row>
    <row r="890" spans="2:8" x14ac:dyDescent="0.2">
      <c r="B890" s="4" t="str">
        <f>PROPER(Sheet1!$B890&amp;" "&amp;"Tea Factory")</f>
        <v>Muruthalawa Tea Factory</v>
      </c>
      <c r="F890" s="4">
        <f>Sheet1!G890</f>
        <v>0</v>
      </c>
      <c r="G890" s="4" t="str">
        <f>Sheet1!J890</f>
        <v>DehigamaYatinuwaraKandy</v>
      </c>
      <c r="H890" s="5" t="str">
        <f t="shared" si="3"/>
        <v xml:space="preserve"> View Map </v>
      </c>
    </row>
    <row r="891" spans="2:8" x14ac:dyDescent="0.2">
      <c r="B891" s="4" t="str">
        <f>PROPER(Sheet1!$B891&amp;" "&amp;"Tea Factory")</f>
        <v>Lenama Hills Tea Factory</v>
      </c>
      <c r="F891" s="4" t="str">
        <f>Sheet1!G891</f>
        <v>Lenama</v>
      </c>
      <c r="G891" s="4" t="str">
        <f>Sheet1!J891</f>
        <v>No 181/A, Deegala,Lenama,Akuressa</v>
      </c>
      <c r="H891" s="5" t="str">
        <f t="shared" si="3"/>
        <v xml:space="preserve"> View Map </v>
      </c>
    </row>
    <row r="892" spans="2:8" x14ac:dyDescent="0.2">
      <c r="B892" s="4" t="str">
        <f>PROPER(Sheet1!$B892&amp;" "&amp;"Tea Factory")</f>
        <v>Lakvinka Tea Factory</v>
      </c>
      <c r="F892" s="4" t="str">
        <f>Sheet1!G892</f>
        <v>Bengamuwa</v>
      </c>
      <c r="G892" s="4" t="str">
        <f>Sheet1!J892</f>
        <v>Galmola JunctionBengamuwa</v>
      </c>
      <c r="H892" s="5" t="str">
        <f t="shared" si="3"/>
        <v xml:space="preserve"> View Map </v>
      </c>
    </row>
    <row r="893" spans="2:8" x14ac:dyDescent="0.2">
      <c r="B893" s="4" t="str">
        <f>PROPER(Sheet1!$B893&amp;" "&amp;"Tea Factory")</f>
        <v>Deraniyagala Tea Shakthi Tea Factory</v>
      </c>
      <c r="F893" s="4">
        <f>Sheet1!G893</f>
        <v>0</v>
      </c>
      <c r="G893" s="4" t="str">
        <f>Sheet1!J893</f>
        <v>Malandeniya,Deraniyagala.</v>
      </c>
      <c r="H893" s="5" t="str">
        <f t="shared" si="3"/>
        <v xml:space="preserve"> View Map </v>
      </c>
    </row>
    <row r="894" spans="2:8" x14ac:dyDescent="0.2">
      <c r="B894" s="4" t="str">
        <f>PROPER(Sheet1!$B894&amp;" "&amp;"Tea Factory")</f>
        <v>Kolonne Kithulgala Tea Factory</v>
      </c>
      <c r="F894" s="4">
        <f>Sheet1!G894</f>
        <v>0</v>
      </c>
      <c r="G894" s="4" t="str">
        <f>Sheet1!J894</f>
        <v>No 208,Hatton Road,Gurumetiya Junction,Kithulgala.</v>
      </c>
      <c r="H894" s="5" t="str">
        <f t="shared" si="3"/>
        <v xml:space="preserve"> View Map </v>
      </c>
    </row>
    <row r="895" spans="2:8" x14ac:dyDescent="0.2">
      <c r="B895" s="4" t="str">
        <f>PROPER(Sheet1!$B895&amp;" "&amp;"Tea Factory")</f>
        <v>Galaboda Organic Green Tea Factory</v>
      </c>
      <c r="F895" s="4">
        <f>Sheet1!G895</f>
        <v>0</v>
      </c>
      <c r="G895" s="4" t="str">
        <f>Sheet1!J895</f>
        <v>Galaboda Group,Akuressa</v>
      </c>
      <c r="H895" s="5" t="str">
        <f t="shared" si="3"/>
        <v xml:space="preserve"> View Map </v>
      </c>
    </row>
    <row r="896" spans="2:8" x14ac:dyDescent="0.2">
      <c r="B896" s="4" t="str">
        <f>PROPER(Sheet1!$B896&amp;" "&amp;"Tea Factory")</f>
        <v>Kadugannawa Tea Factory</v>
      </c>
      <c r="F896" s="4">
        <f>Sheet1!G896</f>
        <v>0</v>
      </c>
      <c r="G896" s="4" t="str">
        <f>Sheet1!J896</f>
        <v>No 167,Pahala KadugannawaKadugannawa</v>
      </c>
      <c r="H896" s="5" t="str">
        <f t="shared" si="3"/>
        <v xml:space="preserve"> View Map </v>
      </c>
    </row>
    <row r="897" spans="2:8" x14ac:dyDescent="0.2">
      <c r="B897" s="4" t="str">
        <f>PROPER(Sheet1!$B897&amp;" "&amp;"Tea Factory")</f>
        <v>Alfa Valley Instant  Tea Factory</v>
      </c>
      <c r="F897" s="4" t="str">
        <f>Sheet1!G897</f>
        <v>Yatagala</v>
      </c>
      <c r="G897" s="4" t="str">
        <f>Sheet1!J897</f>
        <v>Yatagala,Karandeniya,Galle</v>
      </c>
      <c r="H897" s="5" t="str">
        <f t="shared" si="3"/>
        <v xml:space="preserve"> View Map </v>
      </c>
    </row>
    <row r="898" spans="2:8" x14ac:dyDescent="0.2">
      <c r="B898" s="4" t="str">
        <f>PROPER(Sheet1!$B898&amp;" "&amp;"Tea Factory")</f>
        <v>Colambaarachchi Tea Factory</v>
      </c>
      <c r="F898" s="4" t="str">
        <f>Sheet1!G898</f>
        <v>Welipenna</v>
      </c>
      <c r="G898" s="4" t="str">
        <f>Sheet1!J898</f>
        <v>32A,Aluthgama Road,Welipenna</v>
      </c>
      <c r="H898" s="5" t="str">
        <f t="shared" si="3"/>
        <v xml:space="preserve"> View Map </v>
      </c>
    </row>
    <row r="899" spans="2:8" x14ac:dyDescent="0.2">
      <c r="B899" s="4" t="str">
        <f>PROPER(Sheet1!$B899&amp;" "&amp;"Tea Factory")</f>
        <v>Menikdiwela Tea Factory</v>
      </c>
      <c r="F899" s="4">
        <f>Sheet1!G899</f>
        <v>0</v>
      </c>
      <c r="G899" s="4" t="str">
        <f>Sheet1!J899</f>
        <v>Thismeda Road, Menikdiwela</v>
      </c>
      <c r="H899" s="5" t="str">
        <f t="shared" si="3"/>
        <v xml:space="preserve"> View Map </v>
      </c>
    </row>
    <row r="900" spans="2:8" x14ac:dyDescent="0.2">
      <c r="B900" s="4" t="str">
        <f>PROPER(Sheet1!$B900&amp;" "&amp;"Tea Factory")</f>
        <v>Hddes Extracts (Pvt) Ltd Tea Factory</v>
      </c>
      <c r="F900" s="4" t="str">
        <f>Sheet1!G900</f>
        <v>Poruwadanda East</v>
      </c>
      <c r="G900" s="4" t="str">
        <f>Sheet1!J900</f>
        <v>13A, Export Processing Zone (B.O.I),Poruwadanda, Horana.</v>
      </c>
      <c r="H900" s="5" t="str">
        <f t="shared" si="3"/>
        <v xml:space="preserve"> View Map </v>
      </c>
    </row>
    <row r="901" spans="2:8" x14ac:dyDescent="0.2">
      <c r="B901" s="4" t="str">
        <f>PROPER(Sheet1!$B901&amp;" "&amp;"Tea Factory")</f>
        <v>New Thambiligala  Tea Factory</v>
      </c>
      <c r="F901" s="4" t="str">
        <f>Sheet1!G901</f>
        <v>Ulapane</v>
      </c>
      <c r="G901" s="4" t="str">
        <f>Sheet1!J901</f>
        <v>Ulapane Industrial Zone,Ulapane.</v>
      </c>
      <c r="H901" s="5" t="str">
        <f t="shared" si="3"/>
        <v xml:space="preserve"> View Map </v>
      </c>
    </row>
    <row r="902" spans="2:8" x14ac:dyDescent="0.2">
      <c r="B902" s="4" t="str">
        <f>PROPER(Sheet1!$B902&amp;" "&amp;"Tea Factory")</f>
        <v>Kelvin Tea Factory</v>
      </c>
      <c r="F902" s="4" t="str">
        <f>Sheet1!G902</f>
        <v>Ihalapelampitiya</v>
      </c>
      <c r="G902" s="4" t="str">
        <f>Sheet1!J902</f>
        <v>Dedugala,Bulathkohupitiya</v>
      </c>
      <c r="H902" s="5" t="str">
        <f t="shared" si="3"/>
        <v xml:space="preserve"> View Map </v>
      </c>
    </row>
    <row r="903" spans="2:8" x14ac:dyDescent="0.2">
      <c r="B903" s="4" t="str">
        <f>PROPER(Sheet1!$B903&amp;" "&amp;"Tea Factory")</f>
        <v>Martin Bauer Hayleys Tea Extract  Tea Factory</v>
      </c>
      <c r="F903" s="4">
        <f>Sheet1!G903</f>
        <v>0</v>
      </c>
      <c r="G903" s="4" t="str">
        <f>Sheet1!J903</f>
        <v>Dickoya, Ginigathhena</v>
      </c>
      <c r="H903" s="5" t="str">
        <f t="shared" si="3"/>
        <v xml:space="preserve"> View Map </v>
      </c>
    </row>
    <row r="904" spans="2:8" x14ac:dyDescent="0.2">
      <c r="B904" s="4" t="str">
        <f>PROPER(Sheet1!$B904&amp;" "&amp;"Tea Factory")</f>
        <v>Gold Buds Uva Tea Tea Factory</v>
      </c>
      <c r="F904" s="4" t="str">
        <f>Sheet1!G904</f>
        <v>Mailagastenna</v>
      </c>
      <c r="G904" s="4" t="str">
        <f>Sheet1!J904</f>
        <v>Kanupelella Road,Mailagasthenna,Badulla.</v>
      </c>
      <c r="H904" s="5" t="str">
        <f t="shared" si="3"/>
        <v xml:space="preserve"> View Map </v>
      </c>
    </row>
    <row r="905" spans="2:8" x14ac:dyDescent="0.2">
      <c r="B905" s="4" t="str">
        <f>PROPER(Sheet1!$B905&amp;" "&amp;"Tea Factory")</f>
        <v>Ethoya Waththa Tea Factory</v>
      </c>
      <c r="F905" s="4">
        <f>Sheet1!G905</f>
        <v>0</v>
      </c>
      <c r="G905" s="4" t="str">
        <f>Sheet1!J905</f>
        <v>Ethoyawaththa,"B"Division,Ratnapura.</v>
      </c>
      <c r="H905" s="5" t="str">
        <f t="shared" si="3"/>
        <v xml:space="preserve"> View Map </v>
      </c>
    </row>
    <row r="906" spans="2:8" x14ac:dyDescent="0.2">
      <c r="B906" s="4" t="str">
        <f>PROPER(Sheet1!$B906&amp;" "&amp;"Tea Factory")</f>
        <v>Super Leaf  Tea Factory</v>
      </c>
      <c r="F906" s="4">
        <f>Sheet1!G906</f>
        <v>0</v>
      </c>
      <c r="G906" s="4" t="str">
        <f>Sheet1!J906</f>
        <v>Mawarakanda Watta,Thaligama,Kithulgala.</v>
      </c>
      <c r="H906" s="5" t="str">
        <f t="shared" si="3"/>
        <v xml:space="preserve"> View Map </v>
      </c>
    </row>
    <row r="907" spans="2:8" x14ac:dyDescent="0.2">
      <c r="B907" s="4" t="str">
        <f>PROPER(Sheet1!$B907&amp;" "&amp;"Tea Factory")</f>
        <v>J S P Nelun Dalla Tea Factory</v>
      </c>
      <c r="F907" s="4">
        <f>Sheet1!G907</f>
        <v>0</v>
      </c>
      <c r="G907" s="4" t="str">
        <f>Sheet1!J907</f>
        <v>Ihala Naboda,Naboda</v>
      </c>
      <c r="H907" s="5" t="str">
        <f t="shared" si="3"/>
        <v xml:space="preserve"> View Map </v>
      </c>
    </row>
    <row r="908" spans="2:8" x14ac:dyDescent="0.2">
      <c r="B908" s="4" t="str">
        <f>PROPER(Sheet1!$B908&amp;" "&amp;"Tea Factory")</f>
        <v>Rathmalgoda Tea Factory</v>
      </c>
      <c r="F908" s="4" t="str">
        <f>Sheet1!G908</f>
        <v>Rathmalgoda</v>
      </c>
      <c r="G908" s="4" t="str">
        <f>Sheet1!J908</f>
        <v>Kandahena,Rathmalgoda,Poruwadanda.</v>
      </c>
      <c r="H908" s="5" t="str">
        <f t="shared" si="3"/>
        <v xml:space="preserve"> View Map </v>
      </c>
    </row>
    <row r="909" spans="2:8" x14ac:dyDescent="0.2">
      <c r="B909" s="4" t="str">
        <f>PROPER(Sheet1!$B909&amp;" "&amp;"Tea Factory")</f>
        <v>Ranaya Tea Factory</v>
      </c>
      <c r="F909" s="4" t="str">
        <f>Sheet1!G909</f>
        <v>Attampitiya</v>
      </c>
      <c r="G909" s="4" t="str">
        <f>Sheet1!J909</f>
        <v>Attampitiya</v>
      </c>
      <c r="H909" s="5" t="str">
        <f t="shared" si="3"/>
        <v xml:space="preserve"> View Map </v>
      </c>
    </row>
    <row r="910" spans="2:8" x14ac:dyDescent="0.2">
      <c r="B910" s="4" t="str">
        <f>PROPER(Sheet1!$B910&amp;" "&amp;"Tea Factory")</f>
        <v>Kooradeniya Tea Processing Center Tea Factory</v>
      </c>
      <c r="F910" s="4">
        <f>Sheet1!G910</f>
        <v>0</v>
      </c>
      <c r="G910" s="4" t="str">
        <f>Sheet1!J910</f>
        <v>61, Kooradeniya Road,Welamboda.</v>
      </c>
      <c r="H910" s="5" t="str">
        <f t="shared" si="3"/>
        <v xml:space="preserve"> View Map </v>
      </c>
    </row>
    <row r="911" spans="2:8" x14ac:dyDescent="0.2">
      <c r="B911" s="4" t="str">
        <f>PROPER(Sheet1!$B911&amp;" "&amp;"Tea Factory")</f>
        <v>Golden Green Tea Processing Center Tea Factory</v>
      </c>
      <c r="F911" s="4">
        <f>Sheet1!G911</f>
        <v>0</v>
      </c>
      <c r="G911" s="4" t="str">
        <f>Sheet1!J911</f>
        <v>84A, Ketakumbura,Leemagahakotuwa</v>
      </c>
      <c r="H911" s="5" t="str">
        <f t="shared" si="3"/>
        <v xml:space="preserve"> View Map </v>
      </c>
    </row>
    <row r="912" spans="2:8" x14ac:dyDescent="0.2">
      <c r="B912" s="4" t="str">
        <f>PROPER(Sheet1!$B912&amp;" "&amp;"Tea Factory")</f>
        <v>Leaf Land'S Tea Processing Center Tea Factory</v>
      </c>
      <c r="F912" s="4">
        <f>Sheet1!G912</f>
        <v>0</v>
      </c>
      <c r="G912" s="4" t="str">
        <f>Sheet1!J912</f>
        <v>82/D, Batupitiya,Bambaradeniya</v>
      </c>
      <c r="H912" s="5" t="str">
        <f t="shared" si="3"/>
        <v xml:space="preserve"> View Map </v>
      </c>
    </row>
    <row r="913" spans="2:8" x14ac:dyDescent="0.2">
      <c r="B913" s="4" t="str">
        <f>PROPER(Sheet1!$B913&amp;" "&amp;"Tea Factory")</f>
        <v>Diggala Enterprices Tea Processing Center Tea Factory</v>
      </c>
      <c r="F913" s="4">
        <f>Sheet1!G913</f>
        <v>0</v>
      </c>
      <c r="G913" s="4" t="str">
        <f>Sheet1!J913</f>
        <v>223, Embekka Road,Hapugahayatathenna,Handessa.</v>
      </c>
      <c r="H913" s="5" t="str">
        <f t="shared" si="3"/>
        <v xml:space="preserve"> View Map </v>
      </c>
    </row>
    <row r="914" spans="2:8" x14ac:dyDescent="0.2">
      <c r="B914" s="4" t="str">
        <f>PROPER(Sheet1!$B914&amp;" "&amp;"Tea Factory")</f>
        <v>J A M Miras Tea Processing Center Tea Factory</v>
      </c>
      <c r="F914" s="4">
        <f>Sheet1!G914</f>
        <v>0</v>
      </c>
      <c r="G914" s="4" t="str">
        <f>Sheet1!J914</f>
        <v>107, Ambagastenna,Welamboda.</v>
      </c>
      <c r="H914" s="5" t="str">
        <f t="shared" si="3"/>
        <v xml:space="preserve"> View Map </v>
      </c>
    </row>
    <row r="915" spans="2:8" x14ac:dyDescent="0.2">
      <c r="B915" s="4" t="str">
        <f>PROPER(Sheet1!$B915&amp;" "&amp;"Tea Factory")</f>
        <v>Tea House Tea Processing Center Tea Factory</v>
      </c>
      <c r="F915" s="4">
        <f>Sheet1!G915</f>
        <v>0</v>
      </c>
      <c r="G915" s="4" t="str">
        <f>Sheet1!J915</f>
        <v>No;07,Ginigathhena Road,Rambukpitiya,Nawalapitiya.</v>
      </c>
      <c r="H915" s="5" t="str">
        <f t="shared" si="3"/>
        <v xml:space="preserve"> View Map </v>
      </c>
    </row>
    <row r="916" spans="2:8" x14ac:dyDescent="0.2">
      <c r="B916" s="4" t="str">
        <f>PROPER(Sheet1!$B916&amp;" "&amp;"Tea Factory")</f>
        <v>Alkamada Enterprices Tea Factory</v>
      </c>
      <c r="F916" s="4">
        <f>Sheet1!G916</f>
        <v>0</v>
      </c>
      <c r="G916" s="4" t="str">
        <f>Sheet1!J916</f>
        <v>63/3/4,Alkamada,Daskara, Muruthagahamula</v>
      </c>
      <c r="H916" s="5" t="str">
        <f t="shared" si="3"/>
        <v xml:space="preserve"> View Map </v>
      </c>
    </row>
    <row r="917" spans="2:8" x14ac:dyDescent="0.2">
      <c r="B917" s="4" t="str">
        <f>PROPER(Sheet1!$B917&amp;" "&amp;"Tea Factory")</f>
        <v>Ketakumbura Tea Factory</v>
      </c>
      <c r="F917" s="4">
        <f>Sheet1!G917</f>
        <v>0</v>
      </c>
      <c r="G917" s="4" t="str">
        <f>Sheet1!J917</f>
        <v>35 C-Ketakumbura,Leemagahakotuwa.</v>
      </c>
      <c r="H917" s="5" t="str">
        <f t="shared" si="3"/>
        <v xml:space="preserve"> View Map </v>
      </c>
    </row>
    <row r="918" spans="2:8" x14ac:dyDescent="0.2">
      <c r="B918" s="4" t="str">
        <f>PROPER(Sheet1!$B918&amp;" "&amp;"Tea Factory")</f>
        <v>Ruwanpura Tea Factory</v>
      </c>
      <c r="F918" s="4">
        <f>Sheet1!G918</f>
        <v>0</v>
      </c>
      <c r="G918" s="4" t="str">
        <f>Sheet1!J918</f>
        <v>132A, Lower Donside Estate,Mallanda,Nawalapitiya.</v>
      </c>
      <c r="H918" s="5" t="str">
        <f t="shared" si="3"/>
        <v xml:space="preserve"> View Map </v>
      </c>
    </row>
    <row r="919" spans="2:8" x14ac:dyDescent="0.2">
      <c r="B919" s="4" t="str">
        <f>PROPER(Sheet1!$B919&amp;" "&amp;"Tea Factory")</f>
        <v>Allewela Tea Factory</v>
      </c>
      <c r="F919" s="4">
        <f>Sheet1!G919</f>
        <v>0</v>
      </c>
      <c r="G919" s="4" t="str">
        <f>Sheet1!J919</f>
        <v>73/1, Dalwatiya Road,Allewela,Welamboda.</v>
      </c>
      <c r="H919" s="5" t="str">
        <f t="shared" si="3"/>
        <v xml:space="preserve"> View Map </v>
      </c>
    </row>
    <row r="920" spans="2:8" x14ac:dyDescent="0.2">
      <c r="B920" s="4" t="str">
        <f>PROPER(Sheet1!$B920&amp;" "&amp;"Tea Factory")</f>
        <v>Thelissagala Tea Factory</v>
      </c>
      <c r="F920" s="4">
        <f>Sheet1!G920</f>
        <v>0</v>
      </c>
      <c r="G920" s="4" t="str">
        <f>Sheet1!J920</f>
        <v>Harangalla Plantation (Pvt)Ltd,Kataboola via,Nawalapitiya.</v>
      </c>
      <c r="H920" s="5" t="str">
        <f t="shared" si="3"/>
        <v xml:space="preserve"> View Map </v>
      </c>
    </row>
    <row r="921" spans="2:8" x14ac:dyDescent="0.2">
      <c r="B921" s="4" t="str">
        <f>PROPER(Sheet1!$B921&amp;" "&amp;"Tea Factory")</f>
        <v>Babilla Tea Factory</v>
      </c>
      <c r="F921" s="4">
        <f>Sheet1!G921</f>
        <v>0</v>
      </c>
      <c r="G921" s="4" t="str">
        <f>Sheet1!J921</f>
        <v>No 211/E,Kahatapitiya , Gampola.</v>
      </c>
      <c r="H921" s="5" t="str">
        <f t="shared" si="3"/>
        <v xml:space="preserve"> View Map </v>
      </c>
    </row>
    <row r="922" spans="2:8" x14ac:dyDescent="0.2">
      <c r="B922" s="4" t="str">
        <f>PROPER(Sheet1!$B922&amp;" "&amp;"Tea Factory")</f>
        <v>Jaya Land Tea Factory</v>
      </c>
      <c r="F922" s="4">
        <f>Sheet1!G922</f>
        <v>0</v>
      </c>
      <c r="G922" s="4" t="str">
        <f>Sheet1!J922</f>
        <v>Galpaditenne Tea Factory,Lellopitiya,Ratnapura.</v>
      </c>
      <c r="H922" s="5" t="str">
        <f t="shared" si="3"/>
        <v xml:space="preserve"> View Map </v>
      </c>
    </row>
    <row r="923" spans="2:8" x14ac:dyDescent="0.2">
      <c r="B923" s="4" t="str">
        <f>PROPER(Sheet1!$B923&amp;" "&amp;"Tea Factory")</f>
        <v>Liverpool Tea Factory</v>
      </c>
      <c r="F923" s="4">
        <f>Sheet1!G923</f>
        <v>0</v>
      </c>
      <c r="G923" s="4" t="str">
        <f>Sheet1!J923</f>
        <v>No, 07,Ginigathhena road,Rambukpitiya,Nawalapitiya.</v>
      </c>
      <c r="H923" s="5" t="str">
        <f t="shared" si="3"/>
        <v xml:space="preserve"> View Map </v>
      </c>
    </row>
    <row r="924" spans="2:8" x14ac:dyDescent="0.2">
      <c r="B924" s="4" t="str">
        <f>PROPER(Sheet1!$B924&amp;" "&amp;"Tea Factory")</f>
        <v>Glenwood Reserve Tea Factory</v>
      </c>
      <c r="F924" s="4">
        <f>Sheet1!G924</f>
        <v>0</v>
      </c>
      <c r="G924" s="4" t="str">
        <f>Sheet1!J924</f>
        <v>Johnsland,Hanguranketha,Nuwara Eliya.</v>
      </c>
      <c r="H924" s="5" t="str">
        <f t="shared" si="3"/>
        <v xml:space="preserve"> View Map </v>
      </c>
    </row>
    <row r="925" spans="2:8" x14ac:dyDescent="0.2">
      <c r="B925" s="4" t="str">
        <f>PROPER(Sheet1!$B925&amp;" "&amp;"Tea Factory")</f>
        <v>Eco Tea Factory</v>
      </c>
      <c r="F925" s="4">
        <f>Sheet1!G925</f>
        <v>0</v>
      </c>
      <c r="G925" s="4" t="str">
        <f>Sheet1!J925</f>
        <v>Hidellana Tea Factory (Pvt) Ltd,Hidellana ,Ratnapura.</v>
      </c>
      <c r="H925" s="5" t="str">
        <f t="shared" si="3"/>
        <v xml:space="preserve"> View Map </v>
      </c>
    </row>
    <row r="926" spans="2:8" x14ac:dyDescent="0.2">
      <c r="B926" s="4" t="str">
        <f>PROPER(Sheet1!$B926&amp;" "&amp;"Tea Factory")</f>
        <v>Macduff  Tea Factory</v>
      </c>
      <c r="F926" s="4">
        <f>Sheet1!G926</f>
        <v>0</v>
      </c>
      <c r="G926" s="4" t="str">
        <f>Sheet1!J926</f>
        <v>Macduff Estate,Lindula.</v>
      </c>
      <c r="H926" s="5" t="str">
        <f t="shared" si="3"/>
        <v xml:space="preserve"> View Map </v>
      </c>
    </row>
    <row r="927" spans="2:8" x14ac:dyDescent="0.2">
      <c r="B927" s="4" t="str">
        <f>PROPER(Sheet1!$B927&amp;" "&amp;"Tea Factory")</f>
        <v>Tea Bush Tea Factory</v>
      </c>
      <c r="F927" s="4">
        <f>Sheet1!G927</f>
        <v>0</v>
      </c>
      <c r="G927" s="4" t="str">
        <f>Sheet1!J927</f>
        <v>Tea BushEstate,Rambodagama,Kothmale.</v>
      </c>
      <c r="H927" s="5" t="str">
        <f t="shared" si="3"/>
        <v xml:space="preserve"> View Map </v>
      </c>
    </row>
    <row r="928" spans="2:8" x14ac:dyDescent="0.2">
      <c r="B928" s="4" t="str">
        <f>PROPER(Sheet1!$B928&amp;" "&amp;"Tea Factory")</f>
        <v>Ethical Extracts Tea Factory</v>
      </c>
      <c r="F928" s="4">
        <f>Sheet1!G928</f>
        <v>0</v>
      </c>
      <c r="G928" s="4" t="str">
        <f>Sheet1!J928</f>
        <v>No.334,T.B.Jayah Mw,Kadawatha.</v>
      </c>
      <c r="H928" s="5" t="str">
        <f t="shared" si="3"/>
        <v xml:space="preserve"> View Map </v>
      </c>
    </row>
    <row r="929" spans="2:8" x14ac:dyDescent="0.2">
      <c r="B929" s="4" t="str">
        <f>PROPER(Sheet1!$B929&amp;" "&amp;"Tea Factory")</f>
        <v>Amba Estate Hand-Made Tea Factory</v>
      </c>
      <c r="F929" s="4">
        <f>Sheet1!G929</f>
        <v>0</v>
      </c>
      <c r="G929" s="4" t="str">
        <f>Sheet1!J929</f>
        <v>Ambaragama,Bandarawela.</v>
      </c>
      <c r="H929" s="5" t="str">
        <f t="shared" si="3"/>
        <v xml:space="preserve"> View Map </v>
      </c>
    </row>
    <row r="930" spans="2:8" x14ac:dyDescent="0.2">
      <c r="B930" s="4" t="str">
        <f>PROPER(Sheet1!$B930&amp;" "&amp;"Tea Factory")</f>
        <v>Glormex Tea Factory</v>
      </c>
      <c r="F930" s="4">
        <f>Sheet1!G930</f>
        <v>0</v>
      </c>
      <c r="G930" s="4" t="str">
        <f>Sheet1!J930</f>
        <v>251/1,Hapugahayatatenna,Handessa.</v>
      </c>
      <c r="H930" s="5" t="str">
        <f t="shared" si="3"/>
        <v xml:space="preserve"> View Map </v>
      </c>
    </row>
    <row r="931" spans="2:8" x14ac:dyDescent="0.2">
      <c r="B931" s="4" t="str">
        <f>PROPER(Sheet1!$B931&amp;" "&amp;"Tea Factory")</f>
        <v>Hadurama Tea Factory</v>
      </c>
      <c r="F931" s="4">
        <f>Sheet1!G931</f>
        <v>0</v>
      </c>
      <c r="G931" s="4" t="str">
        <f>Sheet1!J931</f>
        <v>72/1, Hadurama,Dalkotuwa,Welamboda.</v>
      </c>
      <c r="H931" s="5" t="str">
        <f t="shared" si="3"/>
        <v xml:space="preserve"> View Map </v>
      </c>
    </row>
    <row r="932" spans="2:8" x14ac:dyDescent="0.2">
      <c r="B932" s="4" t="str">
        <f>PROPER(Sheet1!$B932&amp;" "&amp;"Tea Factory")</f>
        <v>Liyanagahawata Tea Processing Center Tea Factory</v>
      </c>
      <c r="F932" s="4">
        <f>Sheet1!G932</f>
        <v>0</v>
      </c>
      <c r="G932" s="4" t="str">
        <f>Sheet1!J932</f>
        <v>132/5,Liyanagahawatta Road,Welamboda.</v>
      </c>
      <c r="H932" s="5" t="str">
        <f t="shared" si="3"/>
        <v xml:space="preserve"> View Map </v>
      </c>
    </row>
    <row r="933" spans="2:8" x14ac:dyDescent="0.2">
      <c r="B933" s="4" t="str">
        <f>PROPER(Sheet1!$B933&amp;" "&amp;"Tea Factory")</f>
        <v>Hansi Tea Processing Center Tea Factory</v>
      </c>
      <c r="F933" s="4">
        <f>Sheet1!G933</f>
        <v>0</v>
      </c>
      <c r="G933" s="4" t="str">
        <f>Sheet1!J933</f>
        <v>Maddawila,Ethkandara</v>
      </c>
      <c r="H933" s="5" t="str">
        <f t="shared" si="3"/>
        <v xml:space="preserve"> View Map </v>
      </c>
    </row>
    <row r="934" spans="2:8" x14ac:dyDescent="0.2">
      <c r="B934" s="4" t="str">
        <f>PROPER(Sheet1!$B934&amp;" "&amp;"Tea Factory")</f>
        <v>Nifraz Traders Tea Processing Center Tea Factory</v>
      </c>
      <c r="F934" s="4">
        <f>Sheet1!G934</f>
        <v>0</v>
      </c>
      <c r="G934" s="4" t="str">
        <f>Sheet1!J934</f>
        <v>59/1,Daskara,Muruthagahamula.</v>
      </c>
      <c r="H934" s="5" t="str">
        <f t="shared" si="3"/>
        <v xml:space="preserve"> View Map </v>
      </c>
    </row>
    <row r="935" spans="2:8" x14ac:dyDescent="0.2">
      <c r="B935" s="4" t="str">
        <f>PROPER(Sheet1!$B935&amp;" "&amp;"Tea Factory")</f>
        <v>Mount Valley Tea Factory</v>
      </c>
      <c r="F935" s="4">
        <f>Sheet1!G935</f>
        <v>0</v>
      </c>
      <c r="G935" s="4" t="str">
        <f>Sheet1!J935</f>
        <v>43D,Kandy Road,Welamboda.</v>
      </c>
      <c r="H935" s="5" t="str">
        <f t="shared" si="3"/>
        <v xml:space="preserve"> View Map </v>
      </c>
    </row>
    <row r="936" spans="2:8" x14ac:dyDescent="0.2">
      <c r="B936" s="4" t="str">
        <f>PROPER(Sheet1!$B936&amp;" "&amp;"Tea Factory")</f>
        <v>Polkollagollawatta Tea Factory</v>
      </c>
      <c r="F936" s="4">
        <f>Sheet1!G936</f>
        <v>0</v>
      </c>
      <c r="G936" s="4" t="str">
        <f>Sheet1!J936</f>
        <v>No 9/A, Polkollagollawatta,Liyangahawatta,Welamboda.</v>
      </c>
      <c r="H936" s="5" t="str">
        <f t="shared" si="3"/>
        <v xml:space="preserve"> View Map </v>
      </c>
    </row>
    <row r="937" spans="2:8" x14ac:dyDescent="0.2">
      <c r="B937" s="4" t="str">
        <f>PROPER(Sheet1!$B937&amp;" "&amp;"Tea Factory")</f>
        <v>Rafeek Rijwan  Tea Factory</v>
      </c>
      <c r="F937" s="4">
        <f>Sheet1!G937</f>
        <v>0</v>
      </c>
      <c r="G937" s="4" t="str">
        <f>Sheet1!J937</f>
        <v>82 1/3,Batupitiya,Bambaradeniya.</v>
      </c>
      <c r="H937" s="5" t="str">
        <f t="shared" si="3"/>
        <v xml:space="preserve"> View Map </v>
      </c>
    </row>
    <row r="938" spans="2:8" x14ac:dyDescent="0.2">
      <c r="B938" s="4" t="str">
        <f>PROPER(Sheet1!$B938&amp;" "&amp;"Tea Factory")</f>
        <v>Winfield Tea Factory</v>
      </c>
      <c r="F938" s="4">
        <f>Sheet1!G938</f>
        <v>0</v>
      </c>
      <c r="G938" s="4" t="str">
        <f>Sheet1!J938</f>
        <v>49/1,Wegiriya Road,Daskara,Muruthagahamula.</v>
      </c>
      <c r="H938" s="5" t="str">
        <f t="shared" si="3"/>
        <v xml:space="preserve"> View Map </v>
      </c>
    </row>
    <row r="939" spans="2:8" x14ac:dyDescent="0.2">
      <c r="B939" s="4" t="str">
        <f>PROPER(Sheet1!$B939&amp;" "&amp;"Tea Factory")</f>
        <v>Pathahadeniya Tea Factory</v>
      </c>
      <c r="F939" s="4">
        <f>Sheet1!G939</f>
        <v>0</v>
      </c>
      <c r="G939" s="4" t="str">
        <f>Sheet1!J939</f>
        <v>36/10,Kandy Road,Welamboda.</v>
      </c>
      <c r="H939" s="5" t="str">
        <f t="shared" si="3"/>
        <v xml:space="preserve"> View Map </v>
      </c>
    </row>
    <row r="940" spans="2:8" x14ac:dyDescent="0.2">
      <c r="B940" s="4" t="str">
        <f>PROPER(Sheet1!$B940&amp;" "&amp;"Tea Factory")</f>
        <v>Ecoleaf Tea Factory</v>
      </c>
      <c r="F940" s="4">
        <f>Sheet1!G940</f>
        <v>0</v>
      </c>
      <c r="G940" s="4" t="str">
        <f>Sheet1!J940</f>
        <v>223/10/01,Embekka Road,Hapugahayatatenna,Handessa.</v>
      </c>
      <c r="H940" s="5" t="str">
        <f t="shared" si="3"/>
        <v xml:space="preserve"> View Map </v>
      </c>
    </row>
    <row r="941" spans="2:8" x14ac:dyDescent="0.2">
      <c r="B941" s="4" t="str">
        <f>PROPER(Sheet1!$B941&amp;" "&amp;"Tea Factory")</f>
        <v>Maddegoda Tea Factory</v>
      </c>
      <c r="F941" s="4">
        <f>Sheet1!G941</f>
        <v>0</v>
      </c>
      <c r="G941" s="4" t="str">
        <f>Sheet1!J941</f>
        <v>No 3/A,Batupitiya,Leemagahakotuwa.</v>
      </c>
      <c r="H941" s="5" t="str">
        <f t="shared" si="3"/>
        <v xml:space="preserve"> View Map </v>
      </c>
    </row>
    <row r="942" spans="2:8" x14ac:dyDescent="0.2">
      <c r="B942" s="4" t="str">
        <f>PROPER(Sheet1!$B942&amp;" "&amp;"Tea Factory")</f>
        <v>Binoy Tea Factory</v>
      </c>
      <c r="F942" s="4">
        <f>Sheet1!G942</f>
        <v>0</v>
      </c>
      <c r="G942" s="4" t="str">
        <f>Sheet1!J942</f>
        <v>733,Galle Road,Randombe.</v>
      </c>
      <c r="H942" s="5" t="str">
        <f t="shared" si="3"/>
        <v xml:space="preserve"> View Map </v>
      </c>
    </row>
    <row r="943" spans="2:8" x14ac:dyDescent="0.2">
      <c r="B943" s="4" t="str">
        <f>PROPER(Sheet1!$B943&amp;" "&amp;"Tea Factory")</f>
        <v>Southern Valley Tea Factory</v>
      </c>
      <c r="F943" s="4">
        <f>Sheet1!G943</f>
        <v>0</v>
      </c>
      <c r="G943" s="4" t="str">
        <f>Sheet1!J943</f>
        <v>No 7/7,Galle Road,Randombe,Ambalangoda.</v>
      </c>
      <c r="H943" s="5" t="str">
        <f t="shared" si="3"/>
        <v xml:space="preserve"> View Map </v>
      </c>
    </row>
    <row r="944" spans="2:8" x14ac:dyDescent="0.2">
      <c r="B944" s="4" t="str">
        <f>PROPER(Sheet1!$B944&amp;" "&amp;"Tea Factory")</f>
        <v>Thanahandeniya Tea Factory</v>
      </c>
      <c r="F944" s="4">
        <f>Sheet1!G944</f>
        <v>0</v>
      </c>
      <c r="G944" s="4" t="str">
        <f>Sheet1!J944</f>
        <v>30A,Thanahandeniyawatta,Welamboda.</v>
      </c>
      <c r="H944" s="5" t="str">
        <f t="shared" si="3"/>
        <v xml:space="preserve"> View Map </v>
      </c>
    </row>
    <row r="945" spans="2:8" x14ac:dyDescent="0.2">
      <c r="B945" s="4" t="str">
        <f>PROPER(Sheet1!$B945&amp;" "&amp;"Tea Factory")</f>
        <v>Pelketiya Tea Factory</v>
      </c>
      <c r="F945" s="4">
        <f>Sheet1!G945</f>
        <v>0</v>
      </c>
      <c r="G945" s="4" t="str">
        <f>Sheet1!J945</f>
        <v>10/67,Kandy Road,Welamboda.</v>
      </c>
      <c r="H945" s="5" t="str">
        <f t="shared" si="3"/>
        <v xml:space="preserve"> View Map </v>
      </c>
    </row>
    <row r="946" spans="2:8" x14ac:dyDescent="0.2">
      <c r="B946" s="4" t="str">
        <f>PROPER(Sheet1!$B946&amp;" "&amp;"Tea Factory")</f>
        <v>Canora Tea Factory</v>
      </c>
      <c r="F946" s="4">
        <f>Sheet1!G946</f>
        <v>0</v>
      </c>
      <c r="G946" s="4" t="str">
        <f>Sheet1!J946</f>
        <v>Owatha Road,Hingula.</v>
      </c>
      <c r="H946" s="5" t="str">
        <f t="shared" si="3"/>
        <v xml:space="preserve"> View Map </v>
      </c>
    </row>
    <row r="947" spans="2:8" x14ac:dyDescent="0.2">
      <c r="B947" s="4" t="str">
        <f>PROPER(Sheet1!$B947&amp;" "&amp;"Tea Factory")</f>
        <v>Super Tea Processing Center Tea Factory</v>
      </c>
      <c r="F947" s="4">
        <f>Sheet1!G947</f>
        <v>0</v>
      </c>
      <c r="G947" s="4" t="str">
        <f>Sheet1!J947</f>
        <v>177/4,Kandy Rd,Welamboda.</v>
      </c>
      <c r="H947" s="5" t="str">
        <f t="shared" si="3"/>
        <v xml:space="preserve"> View Map </v>
      </c>
    </row>
    <row r="948" spans="2:8" x14ac:dyDescent="0.2">
      <c r="B948" s="4" t="str">
        <f>PROPER(Sheet1!$B948&amp;" "&amp;"Tea Factory")</f>
        <v>Wimalagiri Tea Processing Center Tea Factory</v>
      </c>
      <c r="F948" s="4">
        <f>Sheet1!G948</f>
        <v>0</v>
      </c>
      <c r="G948" s="4" t="str">
        <f>Sheet1!J948</f>
        <v>Kumudu,Waththahena,Thalgaswala.</v>
      </c>
      <c r="H948" s="5" t="str">
        <f t="shared" si="3"/>
        <v xml:space="preserve"> View Map </v>
      </c>
    </row>
    <row r="949" spans="2:8" x14ac:dyDescent="0.2">
      <c r="B949" s="4" t="str">
        <f>PROPER(Sheet1!$B949&amp;" "&amp;"Tea Factory")</f>
        <v>Weliwattha Tea Processing Center Tea Factory</v>
      </c>
      <c r="F949" s="4">
        <f>Sheet1!G949</f>
        <v>0</v>
      </c>
      <c r="G949" s="4" t="str">
        <f>Sheet1!J949</f>
        <v>No.30,Ketakumbura,Leemagahakotuwa.</v>
      </c>
      <c r="H949" s="5" t="str">
        <f t="shared" si="3"/>
        <v xml:space="preserve"> View Map </v>
      </c>
    </row>
    <row r="950" spans="2:8" x14ac:dyDescent="0.2">
      <c r="B950" s="4" t="str">
        <f>PROPER(Sheet1!$B950&amp;" "&amp;"Tea Factory")</f>
        <v>Olga Tea Processing Center Tea Factory</v>
      </c>
      <c r="F950" s="4">
        <f>Sheet1!G950</f>
        <v>0</v>
      </c>
      <c r="G950" s="4" t="str">
        <f>Sheet1!J950</f>
        <v>Andadolahena,Horagoda,Thelijjawila.</v>
      </c>
      <c r="H950" s="5" t="str">
        <f t="shared" si="3"/>
        <v xml:space="preserve"> View Map </v>
      </c>
    </row>
    <row r="951" spans="2:8" x14ac:dyDescent="0.2">
      <c r="B951" s="4" t="str">
        <f>PROPER(Sheet1!$B951&amp;" "&amp;"Tea Factory")</f>
        <v>Romaclo Beverages (Pvt) Ltd Tea Processing Center Tea Factory</v>
      </c>
      <c r="F951" s="4">
        <f>Sheet1!G951</f>
        <v>0</v>
      </c>
      <c r="G951" s="4" t="str">
        <f>Sheet1!J951</f>
        <v>Kumbaduwa waththa,Kumbaduwa,Meegahatenna.</v>
      </c>
      <c r="H951" s="5" t="str">
        <f t="shared" si="3"/>
        <v xml:space="preserve"> View Map </v>
      </c>
    </row>
    <row r="952" spans="2:8" x14ac:dyDescent="0.2">
      <c r="B952" s="4" t="str">
        <f>PROPER(Sheet1!$B952&amp;" "&amp;"Tea Factory")</f>
        <v>Henawatta Tea Processing Center Tea Factory</v>
      </c>
      <c r="F952" s="4">
        <f>Sheet1!G952</f>
        <v>0</v>
      </c>
      <c r="G952" s="4" t="str">
        <f>Sheet1!J952</f>
        <v>No.34/K,Liyangahawatte,Welamboda.</v>
      </c>
      <c r="H952" s="5" t="str">
        <f t="shared" si="3"/>
        <v xml:space="preserve"> View Map </v>
      </c>
    </row>
    <row r="953" spans="2:8" x14ac:dyDescent="0.2">
      <c r="B953" s="4" t="str">
        <f>PROPER(Sheet1!$B953&amp;" "&amp;"Tea Factory")</f>
        <v>K.B.N Ceylon  Tea Factory</v>
      </c>
      <c r="F953" s="4">
        <f>Sheet1!G953</f>
        <v>0</v>
      </c>
      <c r="G953" s="4" t="str">
        <f>Sheet1!J953</f>
        <v>K.B.N Agencies,Narangala,Matara.</v>
      </c>
      <c r="H953" s="5" t="str">
        <f t="shared" si="3"/>
        <v xml:space="preserve"> View Map </v>
      </c>
    </row>
    <row r="954" spans="2:8" x14ac:dyDescent="0.2">
      <c r="B954" s="4" t="str">
        <f>PROPER(Sheet1!$B954&amp;" "&amp;"Tea Factory")</f>
        <v>Galpeththa Tea Processing Center Tea Factory</v>
      </c>
      <c r="F954" s="4">
        <f>Sheet1!G954</f>
        <v>0</v>
      </c>
      <c r="G954" s="4" t="str">
        <f>Sheet1!J954</f>
        <v>Akkara 03, Galpoththa,Kombala, Imaduwa.</v>
      </c>
      <c r="H954" s="5" t="str">
        <f t="shared" si="3"/>
        <v xml:space="preserve"> View Map </v>
      </c>
    </row>
    <row r="955" spans="2:8" x14ac:dyDescent="0.2">
      <c r="B955" s="4" t="str">
        <f>PROPER(Sheet1!$B955&amp;" "&amp;"Tea Factory")</f>
        <v>Golden Tea  Tea Factory</v>
      </c>
      <c r="F955" s="4">
        <f>Sheet1!G955</f>
        <v>0</v>
      </c>
      <c r="G955" s="4" t="str">
        <f>Sheet1!J955</f>
        <v>Panukerupitiya,Hidellana,Ratnapura.</v>
      </c>
      <c r="H955" s="5" t="str">
        <f t="shared" si="3"/>
        <v xml:space="preserve"> View Map </v>
      </c>
    </row>
    <row r="956" spans="2:8" x14ac:dyDescent="0.2">
      <c r="B956" s="4" t="str">
        <f>PROPER(Sheet1!$B956&amp;" "&amp;"Tea Factory")</f>
        <v>Paluwaththa Tea Factory</v>
      </c>
      <c r="F956" s="4">
        <f>Sheet1!G956</f>
        <v>0</v>
      </c>
      <c r="G956" s="4" t="str">
        <f>Sheet1!J956</f>
        <v>Paluwaththa,Porawagama.</v>
      </c>
      <c r="H956" s="5" t="str">
        <f t="shared" si="3"/>
        <v xml:space="preserve"> View Map </v>
      </c>
    </row>
    <row r="957" spans="2:8" x14ac:dyDescent="0.2">
      <c r="B957" s="4" t="str">
        <f>PROPER(Sheet1!$B957&amp;" "&amp;"Tea Factory")</f>
        <v>Morahela Tea Processing Centre  Tea Factory</v>
      </c>
      <c r="F957" s="4">
        <f>Sheet1!G957</f>
        <v>0</v>
      </c>
      <c r="G957" s="4" t="str">
        <f>Sheet1!J957</f>
        <v>33/B, Morahela, Bambarella Road,Panvila.</v>
      </c>
      <c r="H957" s="5" t="str">
        <f t="shared" si="3"/>
        <v xml:space="preserve"> View Map </v>
      </c>
    </row>
    <row r="958" spans="2:8" x14ac:dyDescent="0.2">
      <c r="B958" s="4" t="str">
        <f>PROPER(Sheet1!$B958&amp;" "&amp;"Tea Factory")</f>
        <v>Ulugedara Tea Factory</v>
      </c>
      <c r="F958" s="4" t="str">
        <f>Sheet1!G958</f>
        <v>Neludanda</v>
      </c>
      <c r="G958" s="4" t="str">
        <f>Sheet1!J958</f>
        <v>Deensland Estate,Ettampitiya.</v>
      </c>
      <c r="H958" s="5" t="str">
        <f t="shared" si="3"/>
        <v xml:space="preserve"> View Map </v>
      </c>
    </row>
    <row r="959" spans="2:8" x14ac:dyDescent="0.2">
      <c r="B959" s="4" t="str">
        <f>PROPER(Sheet1!$B959&amp;" "&amp;"Tea Factory")</f>
        <v>Hingula Tea Factory</v>
      </c>
      <c r="F959" s="4">
        <f>Sheet1!G959</f>
        <v>0</v>
      </c>
      <c r="G959" s="4" t="str">
        <f>Sheet1!J959</f>
        <v>Owatta Road,Hingula.</v>
      </c>
      <c r="H959" s="5" t="str">
        <f t="shared" si="3"/>
        <v xml:space="preserve"> View Map </v>
      </c>
    </row>
    <row r="960" spans="2:8" x14ac:dyDescent="0.2">
      <c r="B960" s="4" t="str">
        <f>PROPER(Sheet1!$B960&amp;" "&amp;"Tea Factory")</f>
        <v>S L S Warehousing Tea Factory</v>
      </c>
      <c r="F960" s="4">
        <f>Sheet1!G960</f>
        <v>0</v>
      </c>
      <c r="G960" s="4" t="str">
        <f>Sheet1!J960</f>
        <v>No 187/C/1,Temple Juntion,Handapangoda.</v>
      </c>
      <c r="H960" s="5" t="str">
        <f t="shared" si="3"/>
        <v xml:space="preserve"> View Map </v>
      </c>
    </row>
    <row r="961" spans="2:8" x14ac:dyDescent="0.2">
      <c r="B961" s="4" t="str">
        <f>PROPER(Sheet1!$B961&amp;" "&amp;"Tea Factory")</f>
        <v>Ebony Springs Hand-Made Tea Factory</v>
      </c>
      <c r="F961" s="4">
        <f>Sheet1!G961</f>
        <v>0</v>
      </c>
      <c r="G961" s="4" t="str">
        <f>Sheet1!J961</f>
        <v>Agraoya,Ambagamuwa.</v>
      </c>
      <c r="H961" s="5" t="str">
        <f t="shared" si="3"/>
        <v xml:space="preserve"> View Map </v>
      </c>
    </row>
    <row r="962" spans="2:8" x14ac:dyDescent="0.2">
      <c r="B962" s="4" t="str">
        <f>PROPER(Sheet1!$B962&amp;" "&amp;"Tea Factory")</f>
        <v>New Giragama Tea Factory</v>
      </c>
      <c r="F962" s="4">
        <f>Sheet1!G962</f>
        <v>0</v>
      </c>
      <c r="G962" s="4" t="str">
        <f>Sheet1!J962</f>
        <v>Mr.M.M.D.M.Marasinghe92/9,Delgahawaththa,Giragama,Pilimathalawa.</v>
      </c>
      <c r="H962" s="5" t="str">
        <f t="shared" si="3"/>
        <v xml:space="preserve"> View Map </v>
      </c>
    </row>
    <row r="963" spans="2:8" x14ac:dyDescent="0.2">
      <c r="B963" s="4" t="str">
        <f>PROPER(Sheet1!$B963&amp;" "&amp;"Tea Factory")</f>
        <v>Asma Tea Processing Center Tea Factory</v>
      </c>
      <c r="F963" s="4">
        <f>Sheet1!G963</f>
        <v>0</v>
      </c>
      <c r="G963" s="4" t="str">
        <f>Sheet1!J963</f>
        <v>No 36/13, Kandy road,Welamboda.</v>
      </c>
      <c r="H963" s="5" t="str">
        <f t="shared" si="3"/>
        <v xml:space="preserve"> View Map </v>
      </c>
    </row>
    <row r="964" spans="2:8" x14ac:dyDescent="0.2">
      <c r="B964" s="4" t="str">
        <f>PROPER(Sheet1!$B964&amp;" "&amp;"Tea Factory")</f>
        <v>Bibilekandura Hand-Made Tea Factory</v>
      </c>
      <c r="F964" s="4">
        <f>Sheet1!G964</f>
        <v>0</v>
      </c>
      <c r="G964" s="4" t="str">
        <f>Sheet1!J964</f>
        <v>Ethpattiya,Bibilegama.</v>
      </c>
      <c r="H964" s="5" t="str">
        <f t="shared" si="3"/>
        <v xml:space="preserve"> View Map </v>
      </c>
    </row>
    <row r="965" spans="2:8" x14ac:dyDescent="0.2">
      <c r="B965" s="4" t="str">
        <f>PROPER(Sheet1!$B965&amp;" "&amp;"Tea Factory")</f>
        <v>Dalukotuwa Tea Factory</v>
      </c>
      <c r="F965" s="4">
        <f>Sheet1!G965</f>
        <v>0</v>
      </c>
      <c r="G965" s="4" t="str">
        <f>Sheet1!J965</f>
        <v>No 77/1,Dalukotuwa,Welamboda.</v>
      </c>
      <c r="H965" s="5" t="str">
        <f t="shared" si="3"/>
        <v xml:space="preserve"> View Map </v>
      </c>
    </row>
    <row r="966" spans="2:8" x14ac:dyDescent="0.2">
      <c r="B966" s="4" t="str">
        <f>PROPER(Sheet1!$B966&amp;" "&amp;"Tea Factory")</f>
        <v>Blue Hills Tea Factory</v>
      </c>
      <c r="F966" s="4">
        <f>Sheet1!G966</f>
        <v>0</v>
      </c>
      <c r="G966" s="4" t="str">
        <f>Sheet1!J966</f>
        <v>Pinnawala,Balangoda</v>
      </c>
      <c r="H966" s="5" t="str">
        <f t="shared" si="3"/>
        <v xml:space="preserve"> View Map </v>
      </c>
    </row>
    <row r="967" spans="2:8" x14ac:dyDescent="0.2">
      <c r="B967" s="4" t="str">
        <f>PROPER(Sheet1!$B967&amp;" "&amp;"Tea Factory")</f>
        <v>Vidhanage Tea Factory</v>
      </c>
      <c r="F967" s="4">
        <f>Sheet1!G967</f>
        <v>0</v>
      </c>
      <c r="G967" s="4" t="str">
        <f>Sheet1!J967</f>
        <v>72/1A,Hadarama,Welamboda</v>
      </c>
      <c r="H967" s="5" t="str">
        <f t="shared" si="3"/>
        <v xml:space="preserve"> View Map </v>
      </c>
    </row>
    <row r="968" spans="2:8" x14ac:dyDescent="0.2">
      <c r="B968" s="4" t="str">
        <f>PROPER(Sheet1!$B968&amp;" "&amp;"Tea Factory")</f>
        <v>M N A Tea Monarchs Tea Processing Center Tea Factory</v>
      </c>
      <c r="F968" s="4">
        <f>Sheet1!G968</f>
        <v>0</v>
      </c>
      <c r="G968" s="4" t="str">
        <f>Sheet1!J968</f>
        <v>158/A,Bambaradeniya,Leemagahakotuwa.</v>
      </c>
      <c r="H968" s="5" t="str">
        <f t="shared" si="3"/>
        <v xml:space="preserve"> View Map </v>
      </c>
    </row>
    <row r="969" spans="2:8" x14ac:dyDescent="0.2">
      <c r="B969" s="4" t="str">
        <f>PROPER(Sheet1!$B969&amp;" "&amp;"Tea Factory")</f>
        <v>C R A Ceylon Hand Made Tea Factory</v>
      </c>
      <c r="F969" s="4" t="str">
        <f>Sheet1!G969</f>
        <v>Karadiyamulla</v>
      </c>
      <c r="G969" s="4" t="str">
        <f>Sheet1!J969</f>
        <v>39/5,Karadiyamulla,Balangoda.</v>
      </c>
      <c r="H969" s="5" t="str">
        <f t="shared" si="3"/>
        <v xml:space="preserve"> View Map </v>
      </c>
    </row>
    <row r="970" spans="2:8" x14ac:dyDescent="0.2">
      <c r="B970" s="4" t="str">
        <f>PROPER(Sheet1!$B970&amp;" "&amp;"Tea Factory")</f>
        <v>Panamora Tea Processing Center Tea Factory</v>
      </c>
      <c r="F970" s="4" t="str">
        <f>Sheet1!G970</f>
        <v>Batupitiya</v>
      </c>
      <c r="G970" s="4" t="str">
        <f>Sheet1!J970</f>
        <v>No;36/A/1, Batupitiya,Leemagahakotuwa.</v>
      </c>
      <c r="H970" s="5" t="str">
        <f t="shared" si="3"/>
        <v xml:space="preserve"> View Map </v>
      </c>
    </row>
    <row r="971" spans="2:8" x14ac:dyDescent="0.2">
      <c r="B971" s="4" t="str">
        <f>PROPER(Sheet1!$B971&amp;" "&amp;"Tea Factory")</f>
        <v>Ashari Tea Processing Center Tea Factory</v>
      </c>
      <c r="F971" s="4" t="str">
        <f>Sheet1!G971</f>
        <v>Batupitiya</v>
      </c>
      <c r="G971" s="4" t="str">
        <f>Sheet1!J971</f>
        <v>No;62/B,Ketakumbura,Leemagahakotuwa,Kandy.</v>
      </c>
      <c r="H971" s="5" t="str">
        <f t="shared" si="3"/>
        <v xml:space="preserve"> View Map </v>
      </c>
    </row>
    <row r="972" spans="2:8" x14ac:dyDescent="0.2">
      <c r="B972" s="4" t="str">
        <f>PROPER(Sheet1!$B972&amp;" "&amp;"Tea Factory")</f>
        <v>Ganahinna Tea Processing Center Tea Factory</v>
      </c>
      <c r="F972" s="4">
        <f>Sheet1!G972</f>
        <v>0</v>
      </c>
      <c r="G972" s="4" t="str">
        <f>Sheet1!J972</f>
        <v>No;88,Ganahinna,Welamboda.</v>
      </c>
      <c r="H972" s="5" t="str">
        <f t="shared" si="3"/>
        <v xml:space="preserve"> View Map </v>
      </c>
    </row>
    <row r="973" spans="2:8" x14ac:dyDescent="0.2">
      <c r="B973" s="4" t="str">
        <f>PROPER(Sheet1!$B973&amp;" "&amp;"Tea Factory")</f>
        <v>Orange Valley Tea Processing Center Tea Factory</v>
      </c>
      <c r="F973" s="4">
        <f>Sheet1!G973</f>
        <v>0</v>
      </c>
      <c r="G973" s="4" t="str">
        <f>Sheet1!J973</f>
        <v>64/8,Daskara,Muruthagahamula.</v>
      </c>
      <c r="H973" s="5" t="str">
        <f t="shared" si="3"/>
        <v xml:space="preserve"> View Map </v>
      </c>
    </row>
    <row r="974" spans="2:8" x14ac:dyDescent="0.2">
      <c r="B974" s="4" t="str">
        <f>PROPER(Sheet1!$B974&amp;" "&amp;"Tea Factory")</f>
        <v>Wegiriya Tea Processing Center Tea Factory</v>
      </c>
      <c r="F974" s="4">
        <f>Sheet1!G974</f>
        <v>0</v>
      </c>
      <c r="G974" s="4" t="str">
        <f>Sheet1!J974</f>
        <v>No;28/B,Ketakumbura,Leemagahakotuwa.</v>
      </c>
      <c r="H974" s="5" t="str">
        <f t="shared" si="3"/>
        <v xml:space="preserve"> View Map </v>
      </c>
    </row>
    <row r="975" spans="2:8" x14ac:dyDescent="0.2">
      <c r="B975" s="4" t="str">
        <f>PROPER(Sheet1!$B975&amp;" "&amp;"Tea Factory")</f>
        <v>Dunumadalawa Hand Made  Tea Factory</v>
      </c>
      <c r="F975" s="4">
        <f>Sheet1!G975</f>
        <v>0</v>
      </c>
      <c r="G975" s="4" t="str">
        <f>Sheet1!J975</f>
        <v>Nikahatiya,Wattappola,Dunumadalawa.</v>
      </c>
      <c r="H975" s="5" t="str">
        <f t="shared" si="3"/>
        <v xml:space="preserve"> View Map </v>
      </c>
    </row>
    <row r="976" spans="2:8" x14ac:dyDescent="0.2">
      <c r="B976" s="4" t="str">
        <f>PROPER(Sheet1!$B976&amp;" "&amp;"Tea Factory")</f>
        <v>Anakolla Tea Trails Tea Factory</v>
      </c>
      <c r="F976" s="4">
        <f>Sheet1!G976</f>
        <v>0</v>
      </c>
      <c r="G976" s="4" t="str">
        <f>Sheet1!J976</f>
        <v>Anakolla Estate,Pupuressa.</v>
      </c>
      <c r="H976" s="5" t="str">
        <f t="shared" si="3"/>
        <v xml:space="preserve"> View Map </v>
      </c>
    </row>
    <row r="977" spans="2:8" x14ac:dyDescent="0.2">
      <c r="B977" s="4" t="str">
        <f>PROPER(Sheet1!$B977&amp;" "&amp;"Tea Factory")</f>
        <v>Iona Specially Hand Made Tea  Tea Factory</v>
      </c>
      <c r="F977" s="4">
        <f>Sheet1!G977</f>
        <v>0</v>
      </c>
      <c r="G977" s="4" t="str">
        <f>Sheet1!J977</f>
        <v>Inoa Estate,Agarapathana.</v>
      </c>
      <c r="H977" s="5" t="str">
        <f t="shared" si="3"/>
        <v xml:space="preserve"> View Map </v>
      </c>
    </row>
    <row r="978" spans="2:8" x14ac:dyDescent="0.2">
      <c r="B978" s="4" t="str">
        <f>PROPER(Sheet1!$B978&amp;" "&amp;"Tea Factory")</f>
        <v>Green Forest Tea Processing Center Tea Factory</v>
      </c>
      <c r="F978" s="4">
        <f>Sheet1!G978</f>
        <v>0</v>
      </c>
      <c r="G978" s="4" t="str">
        <f>Sheet1!J978</f>
        <v>No;7/B/2, Daskara,Muruthagahamula.</v>
      </c>
      <c r="H978" s="5" t="str">
        <f t="shared" si="3"/>
        <v xml:space="preserve"> View Map </v>
      </c>
    </row>
    <row r="979" spans="2:8" x14ac:dyDescent="0.2">
      <c r="B979" s="4" t="str">
        <f>PROPER(Sheet1!$B979&amp;" "&amp;"Tea Factory")</f>
        <v>Enasaldola Estate Specialty Hand Made Tea Factory</v>
      </c>
      <c r="F979" s="4" t="str">
        <f>Sheet1!G979</f>
        <v>Illukpitiya</v>
      </c>
      <c r="G979" s="4" t="str">
        <f>Sheet1!J979</f>
        <v>Shramadana Mawatha,Galdola,Kotapola.</v>
      </c>
      <c r="H979" s="5" t="str">
        <f t="shared" si="3"/>
        <v xml:space="preserve"> View Map </v>
      </c>
    </row>
    <row r="980" spans="2:8" x14ac:dyDescent="0.2">
      <c r="B980" s="4" t="str">
        <f>PROPER(Sheet1!$B980&amp;" "&amp;"Tea Factory")</f>
        <v>Forest Hill Specialty Hand Made Tea Factory</v>
      </c>
      <c r="F980" s="4" t="str">
        <f>Sheet1!G980</f>
        <v>Erathna</v>
      </c>
      <c r="G980" s="4" t="str">
        <f>Sheet1!J980</f>
        <v>188/A/03, Hospital Road,Erathna,Kuruwita.</v>
      </c>
      <c r="H980" s="5" t="str">
        <f t="shared" si="3"/>
        <v xml:space="preserve"> View Map </v>
      </c>
    </row>
    <row r="981" spans="2:8" x14ac:dyDescent="0.2">
      <c r="B981" s="4" t="str">
        <f>PROPER(Sheet1!$B981&amp;" "&amp;"Tea Factory")</f>
        <v>Royal Ceylon Tea Processing Center Tea Factory</v>
      </c>
      <c r="F981" s="4">
        <f>Sheet1!G981</f>
        <v>0</v>
      </c>
      <c r="G981" s="4" t="str">
        <f>Sheet1!J981</f>
        <v>No: 41,Ambekka Road,Hapugahayatatenna.</v>
      </c>
      <c r="H981" s="5" t="str">
        <f t="shared" si="3"/>
        <v xml:space="preserve"> View Map </v>
      </c>
    </row>
    <row r="982" spans="2:8" x14ac:dyDescent="0.2">
      <c r="B982" s="4" t="str">
        <f>PROPER(Sheet1!$B982&amp;" "&amp;"Tea Factory")</f>
        <v>Oddington Specialty Hand Made Tea Factory</v>
      </c>
      <c r="F982" s="4" t="str">
        <f>Sheet1!G982</f>
        <v>Oddington</v>
      </c>
      <c r="G982" s="4" t="str">
        <f>Sheet1!J982</f>
        <v>Lot 27,Prime Lindula,Rahanwatte,Lindula.</v>
      </c>
      <c r="H982" s="5" t="str">
        <f t="shared" si="3"/>
        <v xml:space="preserve"> View Map </v>
      </c>
    </row>
    <row r="983" spans="2:8" x14ac:dyDescent="0.2">
      <c r="B983" s="4" t="str">
        <f>PROPER(Sheet1!$B983&amp;" "&amp;"Tea Factory")</f>
        <v>Goldefield Tea Factory</v>
      </c>
      <c r="F983" s="4">
        <f>Sheet1!G983</f>
        <v>0</v>
      </c>
      <c r="G983" s="4" t="str">
        <f>Sheet1!J983</f>
        <v>249,Ambarapola,Handessa.</v>
      </c>
      <c r="H983" s="5" t="str">
        <f t="shared" si="3"/>
        <v xml:space="preserve"> View Map </v>
      </c>
    </row>
    <row r="984" spans="2:8" x14ac:dyDescent="0.2">
      <c r="B984" s="4" t="str">
        <f>PROPER(Sheet1!$B984&amp;" "&amp;"Tea Factory")</f>
        <v>Delicate Buds Specialty Hand Made Tea Factory</v>
      </c>
      <c r="F984" s="4">
        <f>Sheet1!G984</f>
        <v>0</v>
      </c>
      <c r="G984" s="4" t="str">
        <f>Sheet1!J984</f>
        <v>139/4, Sun Dance Hill, Sea Field Estate, Menikdiwela.</v>
      </c>
      <c r="H984" s="5" t="str">
        <f t="shared" si="3"/>
        <v xml:space="preserve"> View Map </v>
      </c>
    </row>
    <row r="985" spans="2:8" x14ac:dyDescent="0.2">
      <c r="B985" s="4" t="str">
        <f>PROPER(Sheet1!$B985&amp;" "&amp;"Tea Factory")</f>
        <v>Samanala Specialty Hand Made Tea Factory</v>
      </c>
      <c r="F985" s="4" t="str">
        <f>Sheet1!G985</f>
        <v>Ambathenna</v>
      </c>
      <c r="G985" s="4" t="str">
        <f>Sheet1!J985</f>
        <v>Ambathenna,Ratkarauwwa.</v>
      </c>
      <c r="H985" s="5" t="str">
        <f t="shared" si="3"/>
        <v xml:space="preserve"> View Map </v>
      </c>
    </row>
    <row r="986" spans="2:8" x14ac:dyDescent="0.2">
      <c r="B986" s="4" t="str">
        <f>PROPER(Sheet1!$B986&amp;" "&amp;"Tea Factory")</f>
        <v>Kurundugahadola Specialty Hand Made Tea Factory</v>
      </c>
      <c r="F986" s="4">
        <f>Sheet1!G986</f>
        <v>0</v>
      </c>
      <c r="G986" s="4" t="str">
        <f>Sheet1!J986</f>
        <v>79/2,Mangalasiri,Karawita.</v>
      </c>
      <c r="H986" s="5" t="str">
        <f t="shared" si="3"/>
        <v xml:space="preserve"> View Map </v>
      </c>
    </row>
    <row r="987" spans="2:8" x14ac:dyDescent="0.2">
      <c r="B987" s="4" t="str">
        <f>PROPER(Sheet1!$B987&amp;" "&amp;"Tea Factory")</f>
        <v>Samanalakanda Refuse Tea Processing Center Tea Factory</v>
      </c>
      <c r="F987" s="4" t="str">
        <f>Sheet1!G987</f>
        <v>Yatiwala</v>
      </c>
      <c r="G987" s="4" t="str">
        <f>Sheet1!J987</f>
        <v>Yatiwala,Deraniyagala.</v>
      </c>
      <c r="H987" s="5" t="str">
        <f t="shared" si="3"/>
        <v xml:space="preserve"> View Map </v>
      </c>
    </row>
    <row r="988" spans="2:8" x14ac:dyDescent="0.2">
      <c r="B988" s="4" t="str">
        <f>PROPER(Sheet1!$B988&amp;" "&amp;"Tea Factory")</f>
        <v>Trio Ventures Specialty Hand Made Tea Factory</v>
      </c>
      <c r="F988" s="4" t="str">
        <f>Sheet1!G988</f>
        <v>Karanketiya</v>
      </c>
      <c r="G988" s="4" t="str">
        <f>Sheet1!J988</f>
        <v>No;410/8,2nd Lane,Colombo road,Gampaha.</v>
      </c>
      <c r="H988" s="5" t="str">
        <f t="shared" si="3"/>
        <v xml:space="preserve"> View Map </v>
      </c>
    </row>
    <row r="989" spans="2:8" x14ac:dyDescent="0.2">
      <c r="B989" s="4" t="str">
        <f>PROPER(Sheet1!$B989&amp;" "&amp;"Tea Factory")</f>
        <v>The Asendle Waters Specialty Hand Made Tea Factory</v>
      </c>
      <c r="F989" s="4" t="str">
        <f>Sheet1!G989</f>
        <v>Gawaragiriya</v>
      </c>
      <c r="G989" s="4" t="str">
        <f>Sheet1!J989</f>
        <v>Kabaragala Estate,Gawaragiriya,Ayagama.</v>
      </c>
      <c r="H989" s="5" t="str">
        <f t="shared" si="3"/>
        <v xml:space="preserve"> View Map </v>
      </c>
    </row>
    <row r="990" spans="2:8" x14ac:dyDescent="0.2">
      <c r="B990" s="4" t="str">
        <f>PROPER(Sheet1!$B990&amp;" "&amp;"Tea Factory")</f>
        <v>Blackwoods Farm House Specailty Hand Made Tea Factory</v>
      </c>
      <c r="F990" s="4" t="str">
        <f>Sheet1!G990</f>
        <v>Lower Blackwood</v>
      </c>
      <c r="G990" s="4" t="str">
        <f>Sheet1!J990</f>
        <v>Lower Blackwood,Kiriwanagama road,Nikapotha.</v>
      </c>
      <c r="H990" s="5" t="str">
        <f t="shared" si="3"/>
        <v xml:space="preserve"> View Map </v>
      </c>
    </row>
    <row r="991" spans="2:8" x14ac:dyDescent="0.2">
      <c r="B991" s="4" t="str">
        <f>PROPER(Sheet1!$B991&amp;" "&amp;"Tea Factory")</f>
        <v>New Giragama Tea Factory</v>
      </c>
      <c r="F991" s="4">
        <f>Sheet1!G991</f>
        <v>0</v>
      </c>
      <c r="G991" s="4" t="str">
        <f>Sheet1!J991</f>
        <v>92/9,Delgahawaththa,Giragama,Pilimathalawa.</v>
      </c>
      <c r="H991" s="5" t="str">
        <f t="shared" si="3"/>
        <v xml:space="preserve"> View Map </v>
      </c>
    </row>
    <row r="992" spans="2:8" x14ac:dyDescent="0.2">
      <c r="B992" s="4" t="str">
        <f>PROPER(Sheet1!$B992&amp;" "&amp;"Tea Factory")</f>
        <v>Hillfield Tea Re Processing Centre Tea Factory</v>
      </c>
      <c r="F992" s="4">
        <f>Sheet1!G992</f>
        <v>0</v>
      </c>
      <c r="G992" s="4" t="str">
        <f>Sheet1!J992</f>
        <v>No;35/2, Liyanagahawatte road,Welamboda.</v>
      </c>
      <c r="H992" s="5" t="str">
        <f t="shared" si="3"/>
        <v xml:space="preserve"> View Map </v>
      </c>
    </row>
    <row r="993" spans="2:8" x14ac:dyDescent="0.2">
      <c r="B993" s="4" t="str">
        <f>PROPER(Sheet1!$B993&amp;" "&amp;"Tea Factory")</f>
        <v>Kew Garden Tea Re Processing Centre Tea Factory</v>
      </c>
      <c r="F993" s="4">
        <f>Sheet1!G993</f>
        <v>0</v>
      </c>
      <c r="G993" s="4" t="str">
        <f>Sheet1!J993</f>
        <v>No;67/15,Kandy road,Welamboda.</v>
      </c>
      <c r="H993" s="5" t="str">
        <f t="shared" si="3"/>
        <v xml:space="preserve"> View Map </v>
      </c>
    </row>
    <row r="994" spans="2:8" x14ac:dyDescent="0.2">
      <c r="B994" s="4" t="str">
        <f>PROPER(Sheet1!$B994&amp;" "&amp;"Tea Factory")</f>
        <v>Welikanda Tea Re Processing Center Tea Factory</v>
      </c>
      <c r="F994" s="4" t="str">
        <f>Sheet1!G994</f>
        <v>Pundaluoya</v>
      </c>
      <c r="G994" s="4" t="str">
        <f>Sheet1!J994</f>
        <v>No;284/23,Hewa@gmail.comnwewa,Pundaluoya.</v>
      </c>
      <c r="H994" s="5" t="str">
        <f t="shared" si="3"/>
        <v xml:space="preserve"> View Map </v>
      </c>
    </row>
    <row r="995" spans="2:8" x14ac:dyDescent="0.2">
      <c r="B995" s="4" t="str">
        <f>PROPER(Sheet1!$B995&amp;" "&amp;"Tea Factory")</f>
        <v>Hidden Hills Hand Made  Tea Factory</v>
      </c>
      <c r="F995" s="4" t="str">
        <f>Sheet1!G995</f>
        <v>Ikukovita</v>
      </c>
      <c r="G995" s="4" t="str">
        <f>Sheet1!J995</f>
        <v>Gatamaruwa Mawatha,Dunkolahena,Puwakpitiya.</v>
      </c>
      <c r="H995" s="5" t="str">
        <f t="shared" si="3"/>
        <v xml:space="preserve"> View Map </v>
      </c>
    </row>
    <row r="996" spans="2:8" x14ac:dyDescent="0.2">
      <c r="B996" s="4" t="str">
        <f>PROPER(Sheet1!$B996&amp;" "&amp;"Tea Factory")</f>
        <v>N.I.P.M Learning Centre Tea Factory</v>
      </c>
      <c r="F996" s="4">
        <f>Sheet1!G996</f>
        <v>0</v>
      </c>
      <c r="G996" s="4" t="str">
        <f>Sheet1!J996</f>
        <v>M.D.H.Jayawardene Mawatha,Athurugiriya.</v>
      </c>
      <c r="H996" s="5" t="str">
        <f t="shared" si="3"/>
        <v xml:space="preserve"> View Map </v>
      </c>
    </row>
    <row r="997" spans="2:8" x14ac:dyDescent="0.2">
      <c r="B997" s="4" t="str">
        <f>PROPER(Sheet1!$B997&amp;" "&amp;"Tea Factory")</f>
        <v>Blossoms Uva  Tea Factory</v>
      </c>
      <c r="F997" s="4">
        <f>Sheet1!G997</f>
        <v>0</v>
      </c>
      <c r="G997" s="4" t="str">
        <f>Sheet1!J997</f>
        <v>Kahataruppa,Kuttiyagolla,Badulla.</v>
      </c>
      <c r="H997" s="5" t="str">
        <f t="shared" si="3"/>
        <v xml:space="preserve"> View Map </v>
      </c>
    </row>
    <row r="998" spans="2:8" x14ac:dyDescent="0.2">
      <c r="B998" s="4" t="str">
        <f>PROPER(Sheet1!$B998&amp;" "&amp;"Tea Factory")</f>
        <v>Sussex Re Processing Center Tea Factory</v>
      </c>
      <c r="F998" s="4">
        <f>Sheet1!G998</f>
        <v>0</v>
      </c>
      <c r="G998" s="4" t="str">
        <f>Sheet1!J998</f>
        <v>392,Main Street,Matale.</v>
      </c>
      <c r="H998" s="5" t="str">
        <f t="shared" si="3"/>
        <v xml:space="preserve"> View Map </v>
      </c>
    </row>
    <row r="999" spans="2:8" x14ac:dyDescent="0.2">
      <c r="B999" s="4" t="str">
        <f>PROPER(Sheet1!$B999&amp;" "&amp;"Tea Factory")</f>
        <v>Rosyth Estate House Hand Made Tea Factory</v>
      </c>
      <c r="F999" s="4" t="str">
        <f>Sheet1!G999</f>
        <v>Pussela</v>
      </c>
      <c r="G999" s="4" t="str">
        <f>Sheet1!J999</f>
        <v>Rosyth Estate,Pussela,Kegalle.</v>
      </c>
      <c r="H999" s="5" t="str">
        <f t="shared" si="3"/>
        <v xml:space="preserve"> View Map </v>
      </c>
    </row>
    <row r="1000" spans="2:8" x14ac:dyDescent="0.2">
      <c r="B1000" s="4" t="str">
        <f>PROPER(Sheet1!$B1000&amp;" "&amp;"Tea Factory")</f>
        <v>Tea Tip Ceylon Hand Made Tea Tea Factory</v>
      </c>
      <c r="F1000" s="4">
        <f>Sheet1!G1000</f>
        <v>0</v>
      </c>
      <c r="G1000" s="4" t="str">
        <f>Sheet1!J1000</f>
        <v>No 1179/2,Kottawa Malabe Road,Pannipitiya</v>
      </c>
      <c r="H1000" s="5" t="str">
        <f t="shared" si="3"/>
        <v xml:space="preserve"> View Map </v>
      </c>
    </row>
    <row r="1001" spans="2:8" x14ac:dyDescent="0.2">
      <c r="B1001" s="4" t="str">
        <f>PROPER(Sheet1!$B1001&amp;" "&amp;"Tea Factory")</f>
        <v>Rocky Mark Hand Made Tea  Tea Factory</v>
      </c>
      <c r="F1001" s="4">
        <f>Sheet1!G1001</f>
        <v>0</v>
      </c>
      <c r="G1001" s="4" t="str">
        <f>Sheet1!J1001</f>
        <v>Pavithragara,Rilhena,Pelmadulla</v>
      </c>
      <c r="H1001" s="5" t="str">
        <f t="shared" si="3"/>
        <v xml:space="preserve"> View Map </v>
      </c>
    </row>
    <row r="1002" spans="2:8" x14ac:dyDescent="0.2">
      <c r="B1002" s="4" t="str">
        <f>PROPER(Sheet1!$B1002&amp;" "&amp;"Tea Factory")</f>
        <v>Gongauwa Hand Made  Tea Factory</v>
      </c>
      <c r="F1002" s="4">
        <f>Sheet1!G1002</f>
        <v>0</v>
      </c>
      <c r="G1002" s="4" t="str">
        <f>Sheet1!J1002</f>
        <v>8/19/1, Dissanayaka Mawatha,Anangoda, Galle</v>
      </c>
      <c r="H1002" s="5" t="str">
        <f t="shared" si="3"/>
        <v xml:space="preserve"> View Map </v>
      </c>
    </row>
    <row r="1003" spans="2:8" x14ac:dyDescent="0.2">
      <c r="B1003" s="4" t="str">
        <f>PROPER(Sheet1!$B1003&amp;" "&amp;"Tea Factory")</f>
        <v>Glen Nevis Hand Made  Tea Factory</v>
      </c>
      <c r="F1003" s="4">
        <f>Sheet1!G1003</f>
        <v>0</v>
      </c>
      <c r="G1003" s="4" t="str">
        <f>Sheet1!J1003</f>
        <v>81, Rajamalwatte Road,Battaramulla</v>
      </c>
      <c r="H1003" s="5" t="str">
        <f t="shared" si="3"/>
        <v xml:space="preserve"> View Map </v>
      </c>
    </row>
    <row r="1004" spans="2:8" x14ac:dyDescent="0.2">
      <c r="B1004" s="4" t="str">
        <f>PROPER(Sheet1!$B1004&amp;" "&amp;"Tea Factory")</f>
        <v>Yasmeen Tea Paradise Hand Made Tea Factory</v>
      </c>
      <c r="F1004" s="4">
        <f>Sheet1!G1004</f>
        <v>0</v>
      </c>
      <c r="G1004" s="4" t="str">
        <f>Sheet1!J1004</f>
        <v>No 20, Jayapura,Kottawa</v>
      </c>
      <c r="H1004" s="5" t="str">
        <f t="shared" si="3"/>
        <v xml:space="preserve"> View Map </v>
      </c>
    </row>
    <row r="1005" spans="2:8" x14ac:dyDescent="0.2">
      <c r="B1005" s="4" t="str">
        <f>PROPER(Sheet1!$B1005&amp;" "&amp;"Tea Factory")</f>
        <v>Shakyan Tea Valley Hand Made Tea Factory</v>
      </c>
      <c r="F1005" s="4" t="str">
        <f>Sheet1!G1005</f>
        <v>Yatiyana</v>
      </c>
      <c r="G1005" s="4" t="str">
        <f>Sheet1!J1005</f>
        <v>No 21, Asapuwa Road,Wetthewa, Matugama</v>
      </c>
      <c r="H1005" s="5" t="str">
        <f t="shared" si="3"/>
        <v xml:space="preserve"> View Map </v>
      </c>
    </row>
    <row r="1006" spans="2:8" x14ac:dyDescent="0.2">
      <c r="B1006" s="4" t="str">
        <f>PROPER(Sheet1!$B1006&amp;" "&amp;"Tea Factory")</f>
        <v>Onrich Estate Handmade Tea Factory</v>
      </c>
      <c r="F1006" s="4">
        <f>Sheet1!G1006</f>
        <v>0</v>
      </c>
      <c r="G1006" s="4" t="str">
        <f>Sheet1!J1006</f>
        <v>Halwalakelle,Walallavita</v>
      </c>
      <c r="H1006" s="5" t="str">
        <f t="shared" si="3"/>
        <v xml:space="preserve"> View Map </v>
      </c>
    </row>
    <row r="1007" spans="2:8" x14ac:dyDescent="0.2">
      <c r="B1007" s="4" t="str">
        <f>PROPER(Sheet1!$B1007&amp;" "&amp;"Tea Factory")</f>
        <v>Luck Nature Export Handmade Tea Factory</v>
      </c>
      <c r="F1007" s="4">
        <f>Sheet1!G1007</f>
        <v>0</v>
      </c>
      <c r="G1007" s="4" t="str">
        <f>Sheet1!J1007</f>
        <v>Kadihingala,Pannimulla,Panagoda, Neluwa,Neluwa</v>
      </c>
      <c r="H1007" s="5" t="str">
        <f t="shared" si="3"/>
        <v xml:space="preserve"> View Map </v>
      </c>
    </row>
    <row r="1008" spans="2:8" x14ac:dyDescent="0.2">
      <c r="B1008" s="4" t="str">
        <f>PROPER(Sheet1!$B1008&amp;" "&amp;"Tea Factory")</f>
        <v>S.P.R. Handmade Tea Factory</v>
      </c>
      <c r="F1008" s="4">
        <f>Sheet1!G1008</f>
        <v>0</v>
      </c>
      <c r="G1008" s="4" t="str">
        <f>Sheet1!J1008</f>
        <v>S P R Estate, Alawathugoda Watta,Puwak Watta,Darga Town</v>
      </c>
      <c r="H1008" s="5" t="str">
        <f t="shared" si="3"/>
        <v xml:space="preserve"> View Map </v>
      </c>
    </row>
    <row r="1009" spans="2:8" x14ac:dyDescent="0.2">
      <c r="B1009" s="4" t="str">
        <f>PROPER(Sheet1!$B1009&amp;" "&amp;"Tea Factory")</f>
        <v>Breezeway Handmade Tea Factory</v>
      </c>
      <c r="F1009" s="4">
        <f>Sheet1!G1009</f>
        <v>0</v>
      </c>
      <c r="G1009" s="4" t="str">
        <f>Sheet1!J1009</f>
        <v>Manahara Piyasa,Ampegama North,Ampegama.</v>
      </c>
      <c r="H1009" s="5" t="str">
        <f t="shared" si="3"/>
        <v xml:space="preserve"> View Map </v>
      </c>
    </row>
    <row r="1010" spans="2:8" x14ac:dyDescent="0.2">
      <c r="B1010" s="4" t="str">
        <f>PROPER(Sheet1!$B1010&amp;" "&amp;"Tea Factory")</f>
        <v>R &amp; A Handmade Tea Factory</v>
      </c>
      <c r="F1010" s="4">
        <f>Sheet1!G1010</f>
        <v>0</v>
      </c>
      <c r="G1010" s="4" t="str">
        <f>Sheet1!J1010</f>
        <v>Rajapaksha Estate,Ammaduwa, Ranwala,Godakawela</v>
      </c>
      <c r="H1010" s="5" t="str">
        <f t="shared" si="3"/>
        <v xml:space="preserve"> View Map </v>
      </c>
    </row>
    <row r="1011" spans="2:8" x14ac:dyDescent="0.2">
      <c r="B1011" s="4" t="str">
        <f>PROPER(Sheet1!$B1011&amp;" "&amp;"Tea Factory")</f>
        <v>Malmorakanda Estate -  Tea Factory</v>
      </c>
      <c r="F1011" s="4">
        <f>Sheet1!G1011</f>
        <v>0</v>
      </c>
      <c r="G1011" s="4" t="str">
        <f>Sheet1!J1011</f>
        <v>Vihansa, Pathiragoda Road,Thalgaha, Akmeemana.</v>
      </c>
      <c r="H1011" s="5" t="str">
        <f t="shared" si="3"/>
        <v xml:space="preserve"> View Map </v>
      </c>
    </row>
    <row r="1012" spans="2:8" x14ac:dyDescent="0.2">
      <c r="B1012" s="4" t="str">
        <f>PROPER(Sheet1!$B1012&amp;" "&amp;"Tea Factory")</f>
        <v>Blater Hill Handmade Tea Factory</v>
      </c>
      <c r="F1012" s="4">
        <f>Sheet1!G1012</f>
        <v>0</v>
      </c>
      <c r="G1012" s="4" t="str">
        <f>Sheet1!J1012</f>
        <v>Galkissa Watta,Halwalakelle, Meegahatenna.</v>
      </c>
      <c r="H1012" s="5" t="str">
        <f t="shared" si="3"/>
        <v xml:space="preserve"> View Map </v>
      </c>
    </row>
    <row r="1013" spans="2:8" x14ac:dyDescent="0.2">
      <c r="B1013" s="4" t="str">
        <f>PROPER(Sheet1!$B1013&amp;" "&amp;"Tea Factory")</f>
        <v>Calvarees Handmade Tea Factory</v>
      </c>
      <c r="F1013" s="4">
        <f>Sheet1!G1013</f>
        <v>0</v>
      </c>
      <c r="G1013" s="4" t="str">
        <f>Sheet1!J1013</f>
        <v>56, Athkam Niwasa Road, Hingalgoda, Hiniduma.</v>
      </c>
      <c r="H1013" s="5" t="str">
        <f t="shared" si="3"/>
        <v xml:space="preserve"> View Map </v>
      </c>
    </row>
    <row r="1014" spans="2:8" x14ac:dyDescent="0.2">
      <c r="B1014" s="4" t="str">
        <f>PROPER(Sheet1!$B1014&amp;" "&amp;"Tea Factory")</f>
        <v>Morakanda Tea- Handmade Tea Factory</v>
      </c>
      <c r="F1014" s="4">
        <f>Sheet1!G1014</f>
        <v>0</v>
      </c>
      <c r="G1014" s="4" t="str">
        <f>Sheet1!J1014</f>
        <v>Indigahawila,Kahaduwa</v>
      </c>
      <c r="H1014" s="5" t="str">
        <f t="shared" si="3"/>
        <v xml:space="preserve"> View Map </v>
      </c>
    </row>
    <row r="1015" spans="2:8" x14ac:dyDescent="0.2">
      <c r="B1015" s="4" t="str">
        <f>PROPER(Sheet1!$B1015&amp;" "&amp;"Tea Factory")</f>
        <v>Eighty Acers State Handmade Tea Factory</v>
      </c>
      <c r="F1015" s="4">
        <f>Sheet1!G1015</f>
        <v>0</v>
      </c>
      <c r="G1015" s="4" t="str">
        <f>Sheet1!J1015</f>
        <v>Halawalkelle,Dodampapitiya,Mathugama</v>
      </c>
      <c r="H1015" s="5" t="str">
        <f t="shared" si="3"/>
        <v xml:space="preserve"> View Map </v>
      </c>
    </row>
    <row r="1016" spans="2:8" x14ac:dyDescent="0.2">
      <c r="B1016" s="4" t="str">
        <f>PROPER(Sheet1!$B1016&amp;" "&amp;"Tea Factory")</f>
        <v>Jansu Exports Handmade Tea Factory</v>
      </c>
      <c r="F1016" s="4">
        <f>Sheet1!G1016</f>
        <v>0</v>
      </c>
      <c r="G1016" s="4" t="str">
        <f>Sheet1!J1016</f>
        <v>No 78, Mihindu Mawatha, Elpitiya.</v>
      </c>
      <c r="H1016" s="5" t="str">
        <f t="shared" si="3"/>
        <v xml:space="preserve"> View Map </v>
      </c>
    </row>
    <row r="1017" spans="2:8" x14ac:dyDescent="0.2">
      <c r="B1017" s="4" t="str">
        <f>PROPER(Sheet1!$B1017&amp;" "&amp;"Tea Factory")</f>
        <v>Sun Green Handmade Tea Factory</v>
      </c>
      <c r="F1017" s="4">
        <f>Sheet1!G1017</f>
        <v>0</v>
      </c>
      <c r="G1017" s="4" t="str">
        <f>Sheet1!J1017</f>
        <v>A/160/D, Panwila WatteAnhettigama</v>
      </c>
      <c r="H1017" s="5" t="str">
        <f t="shared" si="3"/>
        <v xml:space="preserve"> View Map </v>
      </c>
    </row>
    <row r="1018" spans="2:8" x14ac:dyDescent="0.2">
      <c r="B1018" s="4" t="str">
        <f>PROPER(Sheet1!$B1018&amp;" "&amp;"Tea Factory")</f>
        <v>Dewra Handmade Tea Factory</v>
      </c>
      <c r="F1018" s="4" t="str">
        <f>Sheet1!G1018</f>
        <v>Pallegama</v>
      </c>
      <c r="G1018" s="4" t="str">
        <f>Sheet1!J1018</f>
        <v>Sirimal Estate B,Pallegama North,Kolawenigama.</v>
      </c>
      <c r="H1018" s="5" t="str">
        <f t="shared" si="3"/>
        <v xml:space="preserve"> View Map </v>
      </c>
    </row>
    <row r="1019" spans="2:8" x14ac:dyDescent="0.2">
      <c r="B1019" s="4" t="str">
        <f>PROPER(Sheet1!$B1019&amp;" "&amp;"Tea Factory")</f>
        <v>Kingswood Tea Factory</v>
      </c>
      <c r="F1019" s="4" t="str">
        <f>Sheet1!G1019</f>
        <v>Ramboda</v>
      </c>
      <c r="G1019" s="4" t="str">
        <f>Sheet1!J1019</f>
        <v>Kingswood Tea Factory (Pvt) LtdUpper Bazzar, Ramboda Watta,Ramboda.</v>
      </c>
      <c r="H1019" s="5" t="str">
        <f t="shared" si="3"/>
        <v xml:space="preserve"> View Map </v>
      </c>
    </row>
    <row r="1020" spans="2:8" x14ac:dyDescent="0.2">
      <c r="B1020" s="4" t="str">
        <f>PROPER(Sheet1!$B1020&amp;" "&amp;"Tea Factory")</f>
        <v>Golden Grove Tea Factory</v>
      </c>
      <c r="F1020" s="4">
        <f>Sheet1!G1020</f>
        <v>0</v>
      </c>
      <c r="G1020" s="4" t="str">
        <f>Sheet1!J1020</f>
        <v>184B, Kandy Road,Welamboda.</v>
      </c>
      <c r="H1020" s="5" t="str">
        <f t="shared" si="3"/>
        <v xml:space="preserve"> View Map </v>
      </c>
    </row>
    <row r="1021" spans="2:8" x14ac:dyDescent="0.2">
      <c r="B1021" s="4" t="str">
        <f>PROPER(Sheet1!$B1021&amp;" "&amp;"Tea Factory")</f>
        <v>Golden Super Tea Re Processing Centre Tea Factory</v>
      </c>
      <c r="F1021" s="4" t="str">
        <f>Sheet1!G1021</f>
        <v>Arakawila</v>
      </c>
      <c r="G1021" s="4" t="str">
        <f>Sheet1!J1021</f>
        <v>No; 34, Arakawila,Hadapangoda.</v>
      </c>
      <c r="H1021" s="5" t="str">
        <f t="shared" si="3"/>
        <v xml:space="preserve"> View Map </v>
      </c>
    </row>
    <row r="1022" spans="2:8" x14ac:dyDescent="0.2">
      <c r="B1022" s="4" t="str">
        <f>PROPER(Sheet1!$B1022&amp;" "&amp;"Tea Factory")</f>
        <v>Jawa Ceylon Tea Re Processing Cetre Tea Factory</v>
      </c>
      <c r="F1022" s="4" t="str">
        <f>Sheet1!G1022</f>
        <v>Magurumaswila</v>
      </c>
      <c r="G1022" s="4" t="str">
        <f>Sheet1!J1022</f>
        <v>Pelawatte Road,Magurumaswila,Walallawita.</v>
      </c>
      <c r="H1022" s="5" t="str">
        <f t="shared" ref="H1022:H1056" si="4">HYPERLINK("https://www.google.com/maps/search/"&amp;SUBSTITUTE($B1022,"","+")," View Map ")</f>
        <v xml:space="preserve"> View Map </v>
      </c>
    </row>
    <row r="1023" spans="2:8" x14ac:dyDescent="0.2">
      <c r="B1023" s="4" t="str">
        <f>PROPER(Sheet1!$B1023&amp;" "&amp;"Tea Factory")</f>
        <v>Fresh Leaf  Tea Factory</v>
      </c>
      <c r="F1023" s="4">
        <f>Sheet1!G1023</f>
        <v>0</v>
      </c>
      <c r="G1023" s="4" t="str">
        <f>Sheet1!J1023</f>
        <v>No 153/D/2, Namal Mawatha,Palanwatta,Pannipitiya.</v>
      </c>
      <c r="H1023" s="5" t="str">
        <f t="shared" si="4"/>
        <v xml:space="preserve"> View Map </v>
      </c>
    </row>
    <row r="1024" spans="2:8" x14ac:dyDescent="0.2">
      <c r="B1024" s="4" t="str">
        <f>PROPER(Sheet1!$B1024&amp;" "&amp;"Tea Factory")</f>
        <v>M.K.G. Tea Re Processing Centre Tea Factory</v>
      </c>
      <c r="F1024" s="4">
        <f>Sheet1!G1024</f>
        <v>0</v>
      </c>
      <c r="G1024" s="4" t="str">
        <f>Sheet1!J1024</f>
        <v>Step 01,Nalanda Ellawala Industrial Zone,Paradise,Kuruwita.</v>
      </c>
      <c r="H1024" s="5" t="str">
        <f t="shared" si="4"/>
        <v xml:space="preserve"> View Map </v>
      </c>
    </row>
    <row r="1025" spans="2:8" x14ac:dyDescent="0.2">
      <c r="B1025" s="4" t="str">
        <f>PROPER(Sheet1!$B1025&amp;" "&amp;"Tea Factory")</f>
        <v>Sense Artisanal Tea Handmade Tea Factory</v>
      </c>
      <c r="F1025" s="4" t="str">
        <f>Sheet1!G1025</f>
        <v>Wegapitiya.</v>
      </c>
      <c r="G1025" s="4" t="str">
        <f>Sheet1!J1025</f>
        <v>No: 381/C,Company Waththa,Wegapitiya.</v>
      </c>
      <c r="H1025" s="5" t="str">
        <f t="shared" si="4"/>
        <v xml:space="preserve"> View Map </v>
      </c>
    </row>
    <row r="1026" spans="2:8" x14ac:dyDescent="0.2">
      <c r="B1026" s="4" t="str">
        <f>PROPER(Sheet1!$B1026&amp;" "&amp;"Tea Factory")</f>
        <v>Batagoda Estate Handmade Tea Factory</v>
      </c>
      <c r="F1026" s="4" t="str">
        <f>Sheet1!G1026</f>
        <v>Wilpita</v>
      </c>
      <c r="G1026" s="4" t="str">
        <f>Sheet1!J1026</f>
        <v>No: 8 H,Ashoka Mw,Madawalamulla,</v>
      </c>
      <c r="H1026" s="5" t="str">
        <f t="shared" si="4"/>
        <v xml:space="preserve"> View Map </v>
      </c>
    </row>
    <row r="1027" spans="2:8" x14ac:dyDescent="0.2">
      <c r="B1027" s="4" t="str">
        <f>PROPER(Sheet1!$B1027&amp;" "&amp;"Tea Factory")</f>
        <v>Ambulawa Hills Handmade Tea Factory</v>
      </c>
      <c r="F1027" s="4" t="str">
        <f>Sheet1!G1027</f>
        <v>Ambuluwawa</v>
      </c>
      <c r="G1027" s="4" t="str">
        <f>Sheet1!J1027</f>
        <v>Ambalawa Estate,3rd Mile Post, Hemmathagama Road,Kehelpannala.</v>
      </c>
      <c r="H1027" s="5" t="str">
        <f t="shared" si="4"/>
        <v xml:space="preserve"> View Map </v>
      </c>
    </row>
    <row r="1028" spans="2:8" x14ac:dyDescent="0.2">
      <c r="B1028" s="4" t="str">
        <f>PROPER(Sheet1!$B1028&amp;" "&amp;"Tea Factory")</f>
        <v>Athukorala Handmade  Tea Factory</v>
      </c>
      <c r="F1028" s="4" t="str">
        <f>Sheet1!G1028</f>
        <v>Pitigala</v>
      </c>
      <c r="G1028" s="4" t="str">
        <f>Sheet1!J1028</f>
        <v>Kurunduwatta, No : 01,Pitigala.</v>
      </c>
      <c r="H1028" s="5" t="str">
        <f t="shared" si="4"/>
        <v xml:space="preserve"> View Map </v>
      </c>
    </row>
    <row r="1029" spans="2:8" x14ac:dyDescent="0.2">
      <c r="B1029" s="4" t="str">
        <f>PROPER(Sheet1!$B1029&amp;" "&amp;"Tea Factory")</f>
        <v>Amawi Tea Handmade Tea Factory</v>
      </c>
      <c r="F1029" s="4" t="str">
        <f>Sheet1!G1029</f>
        <v>Sirisamanpura</v>
      </c>
      <c r="G1029" s="4" t="str">
        <f>Sheet1!J1029</f>
        <v>No : 12/43, 3rd Lane, Vidharshana Mw,Galawilawaththa,Homagama.</v>
      </c>
      <c r="H1029" s="5" t="str">
        <f t="shared" si="4"/>
        <v xml:space="preserve"> View Map </v>
      </c>
    </row>
    <row r="1030" spans="2:8" x14ac:dyDescent="0.2">
      <c r="B1030" s="4" t="str">
        <f>PROPER(Sheet1!$B1030&amp;" "&amp;"Tea Factory")</f>
        <v>Massi Handmade Tea Factory</v>
      </c>
      <c r="F1030" s="4" t="str">
        <f>Sheet1!G1030</f>
        <v>Lihiniyawa</v>
      </c>
      <c r="G1030" s="4" t="str">
        <f>Sheet1!J1030</f>
        <v>Zoisa Estate,Halawalkale Road,Lihiniyawa,Mathugama.</v>
      </c>
      <c r="H1030" s="5" t="str">
        <f t="shared" si="4"/>
        <v xml:space="preserve"> View Map </v>
      </c>
    </row>
    <row r="1031" spans="2:8" x14ac:dyDescent="0.2">
      <c r="B1031" s="4" t="str">
        <f>PROPER(Sheet1!$B1031&amp;" "&amp;"Tea Factory")</f>
        <v>Sara Handmade Tea Factory</v>
      </c>
      <c r="F1031" s="4" t="str">
        <f>Sheet1!G1031</f>
        <v>Gedareyawa</v>
      </c>
      <c r="G1031" s="4" t="str">
        <f>Sheet1!J1031</f>
        <v>Sara Production,Gedareyawa,Rikillagaskada.</v>
      </c>
      <c r="H1031" s="5" t="str">
        <f t="shared" si="4"/>
        <v xml:space="preserve"> View Map </v>
      </c>
    </row>
    <row r="1032" spans="2:8" x14ac:dyDescent="0.2">
      <c r="B1032" s="4" t="str">
        <f>PROPER(Sheet1!$B1032&amp;" "&amp;"Tea Factory")</f>
        <v>Gale Tea Processing Center Handmade Tea Factory</v>
      </c>
      <c r="F1032" s="4" t="str">
        <f>Sheet1!G1032</f>
        <v>Pituwala</v>
      </c>
      <c r="G1032" s="4" t="str">
        <f>Sheet1!J1032</f>
        <v>4th Mile Post,Millagaskanda,Pituwala,</v>
      </c>
      <c r="H1032" s="5" t="str">
        <f t="shared" si="4"/>
        <v xml:space="preserve"> View Map </v>
      </c>
    </row>
    <row r="1033" spans="2:8" x14ac:dyDescent="0.2">
      <c r="B1033" s="4" t="str">
        <f>PROPER(Sheet1!$B1033&amp;" "&amp;"Tea Factory")</f>
        <v>Rakwana Ceylon Tea Handmade Tea Factory</v>
      </c>
      <c r="F1033" s="4" t="str">
        <f>Sheet1!G1033</f>
        <v>Thebukatiya</v>
      </c>
      <c r="G1033" s="4" t="str">
        <f>Sheet1!J1033</f>
        <v>Rajakalwatta,Pinnakanda,Godakawela.</v>
      </c>
      <c r="H1033" s="5" t="str">
        <f t="shared" si="4"/>
        <v xml:space="preserve"> View Map </v>
      </c>
    </row>
    <row r="1034" spans="2:8" x14ac:dyDescent="0.2">
      <c r="B1034" s="4" t="str">
        <f>PROPER(Sheet1!$B1034&amp;" "&amp;"Tea Factory")</f>
        <v>Sinhapitiya Estate Handmade Tea Factory Tea Factory</v>
      </c>
      <c r="F1034" s="4" t="str">
        <f>Sheet1!G1034</f>
        <v>Rathmalkaduwa</v>
      </c>
      <c r="G1034" s="4" t="str">
        <f>Sheet1!J1034</f>
        <v>Sinhapitiya Estate,Ambulawa Road,Gampola.</v>
      </c>
      <c r="H1034" s="5" t="str">
        <f t="shared" si="4"/>
        <v xml:space="preserve"> View Map </v>
      </c>
    </row>
    <row r="1035" spans="2:8" x14ac:dyDescent="0.2">
      <c r="B1035" s="4" t="str">
        <f>PROPER(Sheet1!$B1035&amp;" "&amp;"Tea Factory")</f>
        <v>Mabulla Handmade Tea Factory</v>
      </c>
      <c r="F1035" s="4" t="str">
        <f>Sheet1!G1035</f>
        <v>Meeriyagalla</v>
      </c>
      <c r="G1035" s="4" t="str">
        <f>Sheet1!J1035</f>
        <v>No : 829/1 D,Gamunu Mw,Athurugiriya Road,Homagama.</v>
      </c>
      <c r="H1035" s="5" t="str">
        <f t="shared" si="4"/>
        <v xml:space="preserve"> View Map </v>
      </c>
    </row>
    <row r="1036" spans="2:8" x14ac:dyDescent="0.2">
      <c r="B1036" s="4" t="str">
        <f>PROPER(Sheet1!$B1036&amp;" "&amp;"Tea Factory")</f>
        <v>Ganekumbura Handmade Tea Factory</v>
      </c>
      <c r="F1036" s="4" t="str">
        <f>Sheet1!G1036</f>
        <v>Imbulgoda</v>
      </c>
      <c r="G1036" s="4" t="str">
        <f>Sheet1!J1036</f>
        <v>No : 165/1/1,Yakabedda Road,Akuressa.</v>
      </c>
      <c r="H1036" s="5" t="str">
        <f t="shared" si="4"/>
        <v xml:space="preserve"> View Map </v>
      </c>
    </row>
    <row r="1037" spans="2:8" x14ac:dyDescent="0.2">
      <c r="B1037" s="4" t="str">
        <f>PROPER(Sheet1!$B1037&amp;" "&amp;"Tea Factory")</f>
        <v>Whyteleafe Handmade Tea Factory</v>
      </c>
      <c r="F1037" s="4" t="str">
        <f>Sheet1!G1037</f>
        <v>Ellagawa</v>
      </c>
      <c r="G1037" s="4" t="str">
        <f>Sheet1!J1037</f>
        <v>No : 130 A,Madalawatte,Ellagawa.</v>
      </c>
      <c r="H1037" s="5" t="str">
        <f t="shared" si="4"/>
        <v xml:space="preserve"> View Map </v>
      </c>
    </row>
    <row r="1038" spans="2:8" x14ac:dyDescent="0.2">
      <c r="B1038" s="4" t="str">
        <f>PROPER(Sheet1!$B1038&amp;" "&amp;"Tea Factory")</f>
        <v>Wariyatanna Tea Estate Handmade Tea Factory</v>
      </c>
      <c r="F1038" s="4" t="str">
        <f>Sheet1!G1038</f>
        <v>Wariyagala</v>
      </c>
      <c r="G1038" s="4" t="str">
        <f>Sheet1!J1038</f>
        <v>wariyatanna Estate,wariyagala,Peradeniya.</v>
      </c>
      <c r="H1038" s="5" t="str">
        <f t="shared" si="4"/>
        <v xml:space="preserve"> View Map </v>
      </c>
    </row>
    <row r="1039" spans="2:8" x14ac:dyDescent="0.2">
      <c r="B1039" s="4" t="str">
        <f>PROPER(Sheet1!$B1039&amp;" "&amp;"Tea Factory")</f>
        <v>Lenagala Nature Tea Handmade Tea Factory</v>
      </c>
      <c r="F1039" s="4" t="str">
        <f>Sheet1!G1039</f>
        <v>Lenagala</v>
      </c>
      <c r="G1039" s="4" t="str">
        <f>Sheet1!J1039</f>
        <v>No : G/56/2, Pahala Mainnoluwa,Lenagala, weeragala,Warakapola.</v>
      </c>
      <c r="H1039" s="5" t="str">
        <f t="shared" si="4"/>
        <v xml:space="preserve"> View Map </v>
      </c>
    </row>
    <row r="1040" spans="2:8" x14ac:dyDescent="0.2">
      <c r="B1040" s="4" t="str">
        <f>PROPER(Sheet1!$B1040&amp;" "&amp;"Tea Factory")</f>
        <v>Jetwing Warwick Handmade Tea Factory</v>
      </c>
      <c r="F1040" s="4">
        <f>Sheet1!G1040</f>
        <v>0</v>
      </c>
      <c r="G1040" s="4" t="str">
        <f>Sheet1!J1040</f>
        <v>Jetwing House,No : 46/26,Nawam Mawatha,Colombo 02.</v>
      </c>
      <c r="H1040" s="5" t="str">
        <f t="shared" si="4"/>
        <v xml:space="preserve"> View Map </v>
      </c>
    </row>
    <row r="1041" spans="2:8" x14ac:dyDescent="0.2">
      <c r="B1041" s="4" t="str">
        <f>PROPER(Sheet1!$B1041&amp;" "&amp;"Tea Factory")</f>
        <v>Elegance Velvet Handmade Tea Factory</v>
      </c>
      <c r="F1041" s="4">
        <f>Sheet1!G1041</f>
        <v>0</v>
      </c>
      <c r="G1041" s="4" t="str">
        <f>Sheet1!J1041</f>
        <v>PanvilahenaBatewalakada,Agalawaththa.</v>
      </c>
      <c r="H1041" s="5" t="str">
        <f t="shared" si="4"/>
        <v xml:space="preserve"> View Map </v>
      </c>
    </row>
    <row r="1042" spans="2:8" x14ac:dyDescent="0.2">
      <c r="B1042" s="4" t="str">
        <f>PROPER(Sheet1!$B1042&amp;" "&amp;"Tea Factory")</f>
        <v>Rasenro Handmade Tea Factory</v>
      </c>
      <c r="F1042" s="4">
        <f>Sheet1!G1042</f>
        <v>0</v>
      </c>
      <c r="G1042" s="4" t="str">
        <f>Sheet1!J1042</f>
        <v>Minimaruwa,Alawathura,Bulathkohupitiya.</v>
      </c>
      <c r="H1042" s="5" t="str">
        <f t="shared" si="4"/>
        <v xml:space="preserve"> View Map </v>
      </c>
    </row>
    <row r="1043" spans="2:8" x14ac:dyDescent="0.2">
      <c r="B1043" s="4" t="str">
        <f>PROPER(Sheet1!$B1043&amp;" "&amp;"Tea Factory")</f>
        <v>Ceylon Thotupola Ella Handmade Tea Factory</v>
      </c>
      <c r="F1043" s="4">
        <f>Sheet1!G1043</f>
        <v>0</v>
      </c>
      <c r="G1043" s="4" t="str">
        <f>Sheet1!J1043</f>
        <v>No : 100/B, Ellekade,Vilanagama.</v>
      </c>
      <c r="H1043" s="5" t="str">
        <f t="shared" si="4"/>
        <v xml:space="preserve"> View Map </v>
      </c>
    </row>
    <row r="1044" spans="2:8" x14ac:dyDescent="0.2">
      <c r="B1044" s="4" t="str">
        <f>PROPER(Sheet1!$B1044&amp;" "&amp;"Tea Factory")</f>
        <v>Forest Garden Handmade Tea Factory</v>
      </c>
      <c r="F1044" s="4">
        <f>Sheet1!G1044</f>
        <v>0</v>
      </c>
      <c r="G1044" s="4" t="str">
        <f>Sheet1!J1044</f>
        <v>Pahala Wela,Pahala Millawa,Morawaka.</v>
      </c>
      <c r="H1044" s="5" t="str">
        <f t="shared" si="4"/>
        <v xml:space="preserve"> View Map </v>
      </c>
    </row>
    <row r="1045" spans="2:8" x14ac:dyDescent="0.2">
      <c r="B1045" s="4" t="str">
        <f>PROPER(Sheet1!$B1045&amp;" "&amp;"Tea Factory")</f>
        <v>N N Enterprise Handmade Tea Factory</v>
      </c>
      <c r="F1045" s="4">
        <f>Sheet1!G1045</f>
        <v>0</v>
      </c>
      <c r="G1045" s="4" t="str">
        <f>Sheet1!J1045</f>
        <v>No : 51/35, 3rd Lane,Rathnapura Road,Awissawella.</v>
      </c>
      <c r="H1045" s="5" t="str">
        <f t="shared" si="4"/>
        <v xml:space="preserve"> View Map </v>
      </c>
    </row>
    <row r="1046" spans="2:8" x14ac:dyDescent="0.2">
      <c r="B1046" s="4" t="str">
        <f>PROPER(Sheet1!$B1046&amp;" "&amp;"Tea Factory")</f>
        <v>Yakgiri Handmade Tea Factory</v>
      </c>
      <c r="F1046" s="4">
        <f>Sheet1!G1046</f>
        <v>0</v>
      </c>
      <c r="G1046" s="4" t="str">
        <f>Sheet1!J1046</f>
        <v>No : 191,Uragoda Road,Welipenna.</v>
      </c>
      <c r="H1046" s="5" t="str">
        <f t="shared" si="4"/>
        <v xml:space="preserve"> View Map </v>
      </c>
    </row>
    <row r="1047" spans="2:8" x14ac:dyDescent="0.2">
      <c r="B1047" s="4" t="str">
        <f>PROPER(Sheet1!$B1047&amp;" "&amp;"Tea Factory")</f>
        <v>Brivain Tea Valley Handmade Tea Factory</v>
      </c>
      <c r="F1047" s="4">
        <f>Sheet1!G1047</f>
        <v>0</v>
      </c>
      <c r="G1047" s="4" t="str">
        <f>Sheet1!J1047</f>
        <v>No : 221/2 A,Rathmale Road,Polgampola</v>
      </c>
      <c r="H1047" s="5" t="str">
        <f t="shared" si="4"/>
        <v xml:space="preserve"> View Map </v>
      </c>
    </row>
    <row r="1048" spans="2:8" x14ac:dyDescent="0.2">
      <c r="B1048" s="4" t="str">
        <f>PROPER(Sheet1!$B1048&amp;" "&amp;"Tea Factory")</f>
        <v>Silver Hill Handmade Tea Factory</v>
      </c>
      <c r="F1048" s="4">
        <f>Sheet1!G1048</f>
        <v>0</v>
      </c>
      <c r="G1048" s="4" t="str">
        <f>Sheet1!J1048</f>
        <v>Manamullawatta,Katukurunda,Habaraduwa.</v>
      </c>
      <c r="H1048" s="5" t="str">
        <f t="shared" si="4"/>
        <v xml:space="preserve"> View Map </v>
      </c>
    </row>
    <row r="1049" spans="2:8" x14ac:dyDescent="0.2">
      <c r="B1049" s="4" t="str">
        <f>PROPER(Sheet1!$B1049&amp;" "&amp;"Tea Factory")</f>
        <v>Alasca Handmade Tea Factory</v>
      </c>
      <c r="F1049" s="4">
        <f>Sheet1!G1049</f>
        <v>0</v>
      </c>
      <c r="G1049" s="4" t="str">
        <f>Sheet1!J1049</f>
        <v>Agurumaspita Okanda DeniyaThalangalla,Hiniduma.</v>
      </c>
      <c r="H1049" s="5" t="str">
        <f t="shared" si="4"/>
        <v xml:space="preserve"> View Map </v>
      </c>
    </row>
    <row r="1050" spans="2:8" x14ac:dyDescent="0.2">
      <c r="B1050" s="4" t="str">
        <f>PROPER(Sheet1!$B1050&amp;" "&amp;"Tea Factory")</f>
        <v>Ceylon Grand Dish Handmade Tea Factory</v>
      </c>
      <c r="F1050" s="4">
        <f>Sheet1!G1050</f>
        <v>0</v>
      </c>
      <c r="G1050" s="4" t="str">
        <f>Sheet1!J1050</f>
        <v>No : 200/A, Kadhuruandha Road,Kumbuka West,Gonapola.</v>
      </c>
      <c r="H1050" s="5" t="str">
        <f t="shared" si="4"/>
        <v xml:space="preserve"> View Map </v>
      </c>
    </row>
    <row r="1051" spans="2:8" x14ac:dyDescent="0.2">
      <c r="B1051" s="4" t="str">
        <f>PROPER(Sheet1!$B1051&amp;" "&amp;"Tea Factory")</f>
        <v>Serene Tea Gardens Handmade Tea Factory</v>
      </c>
      <c r="F1051" s="4" t="str">
        <f>Sheet1!G1051</f>
        <v>Kiriporuwa</v>
      </c>
      <c r="G1051" s="4" t="str">
        <f>Sheet1!J1051</f>
        <v>No : 67,Gonamaldeniya,Kiriporuwa, Erepola,Ehaliyagoda.</v>
      </c>
      <c r="H1051" s="5" t="str">
        <f t="shared" si="4"/>
        <v xml:space="preserve"> View Map </v>
      </c>
    </row>
    <row r="1052" spans="2:8" x14ac:dyDescent="0.2">
      <c r="B1052" s="4" t="str">
        <f>PROPER(Sheet1!$B1052&amp;" "&amp;"Tea Factory")</f>
        <v>Evergreen Artisan Tea Handmade Tea Factory</v>
      </c>
      <c r="F1052" s="4">
        <f>Sheet1!G1052</f>
        <v>0</v>
      </c>
      <c r="G1052" s="4" t="str">
        <f>Sheet1!J1052</f>
        <v>Rekadahena,Kahaduwa.</v>
      </c>
      <c r="H1052" s="5" t="str">
        <f t="shared" si="4"/>
        <v xml:space="preserve"> View Map </v>
      </c>
    </row>
    <row r="1053" spans="2:8" x14ac:dyDescent="0.2">
      <c r="B1053" s="4" t="str">
        <f>PROPER(Sheet1!$B1053&amp;" "&amp;"Tea Factory")</f>
        <v>Kalugala Tea Plantation Handmade Tea Factory</v>
      </c>
      <c r="F1053" s="4" t="str">
        <f>Sheet1!G1053</f>
        <v xml:space="preserve">Magedara </v>
      </c>
      <c r="G1053" s="4" t="str">
        <f>Sheet1!J1053</f>
        <v>Neel de Alwis Mw,Magedara,Galle.</v>
      </c>
      <c r="H1053" s="5" t="str">
        <f t="shared" si="4"/>
        <v xml:space="preserve"> View Map </v>
      </c>
    </row>
    <row r="1054" spans="2:8" x14ac:dyDescent="0.2">
      <c r="B1054" s="4" t="str">
        <f>PROPER(Sheet1!$B1054&amp;" "&amp;"Tea Factory")</f>
        <v>Sirikandura Handmade Tea Factory</v>
      </c>
      <c r="F1054" s="4" t="str">
        <f>Sheet1!G1054</f>
        <v>Aluthhena</v>
      </c>
      <c r="G1054" s="4" t="str">
        <f>Sheet1!J1054</f>
        <v>Unit 02,Aluthhena Road,Sirikandura Estate,Mathugama.</v>
      </c>
      <c r="H1054" s="5" t="str">
        <f t="shared" si="4"/>
        <v xml:space="preserve"> View Map </v>
      </c>
    </row>
    <row r="1055" spans="2:8" x14ac:dyDescent="0.2">
      <c r="B1055" s="4" t="str">
        <f>PROPER(Sheet1!$B1055&amp;" "&amp;"Tea Factory")</f>
        <v>Miniature Handmade Tea Factory</v>
      </c>
      <c r="F1055" s="4" t="str">
        <f>Sheet1!G1055</f>
        <v>Divithura</v>
      </c>
      <c r="G1055" s="4" t="str">
        <f>Sheet1!J1055</f>
        <v>No : 196 A,Waduwalivitiya,Alaoththanna Hena</v>
      </c>
      <c r="H1055" s="5" t="str">
        <f t="shared" si="4"/>
        <v xml:space="preserve"> View Map </v>
      </c>
    </row>
    <row r="1056" spans="2:8" x14ac:dyDescent="0.2">
      <c r="B1056" s="4" t="str">
        <f>PROPER(Sheet1!$B1056&amp;" "&amp;"Tea Factory")</f>
        <v>Maleesha Tea Factory</v>
      </c>
      <c r="F1056" s="4">
        <f>Sheet1!G1056</f>
        <v>0</v>
      </c>
      <c r="G1056" s="4" t="str">
        <f>Sheet1!J1056</f>
        <v>Omaththa,Agalawaththa.</v>
      </c>
      <c r="H1056" s="5" t="str">
        <f t="shared" si="4"/>
        <v xml:space="preserve"> View Map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Hiran Wijesinghe</cp:lastModifiedBy>
  <dcterms:modified xsi:type="dcterms:W3CDTF">2026-04-01T10:01:41Z</dcterms:modified>
</cp:coreProperties>
</file>